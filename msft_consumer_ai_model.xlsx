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ata" sheetId="2" state="visible" r:id="rId4"/>
    <sheet name="Backtest" sheetId="3" state="visible" r:id="rId5"/>
    <sheet name="FY27 Q1 Forecast" sheetId="4" state="visible" r:id="rId6"/>
    <sheet name="Business Case" sheetId="5" state="visible" r:id="rId7"/>
    <sheet name="Sensitivity" sheetId="6" state="visible" r:id="rId8"/>
    <sheet name="Sourc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<sst xmlns="http://schemas.openxmlformats.org/spreadsheetml/2006/main" count="298" uniqueCount="240">
  <si>
    <t xml:space="preserve">Microsoft consumer AI: forecast backtest and monetization business case</t>
  </si>
  <si>
    <t xml:space="preserve">Outside-in analysis built only from public filings and published prices. Not affiliated with Microsoft. October 2026.</t>
  </si>
  <si>
    <t xml:space="preserve">Question</t>
  </si>
  <si>
    <t xml:space="preserve">How should Microsoft grow consumer Copilot revenue over FY27 to FY29: upsell the Microsoft 365 consumer ladder, launch a low-price AI tier, or lean harder on ads in free Copilot?</t>
  </si>
  <si>
    <t xml:space="preserve">Data</t>
  </si>
  <si>
    <t xml:space="preserve">Eight quarters of revenue by business line (FY25 Q1 to FY26 Q4) from Microsoft's September 2026 restatement filing, plus disclosed growth metrics.</t>
  </si>
  <si>
    <t xml:space="preserve">Backtest</t>
  </si>
  <si>
    <t xml:space="preserve">How accurate Microsoft's own search-ads guidance has been, against a naive method and a bias-corrected method, quarter by quarter.</t>
  </si>
  <si>
    <t xml:space="preserve">FY27 Q1 Forecast</t>
  </si>
  <si>
    <t xml:space="preserve">Forecast for the quarter ending September 2026, published before Microsoft reports it in late October 2026.</t>
  </si>
  <si>
    <t xml:space="preserve">Business Case</t>
  </si>
  <si>
    <t xml:space="preserve">Three options sized over FY27 to FY29: revenue, cost, gross profit and NPV.</t>
  </si>
  <si>
    <t xml:space="preserve">Sensitivity</t>
  </si>
  <si>
    <t xml:space="preserve">How the two uncertain options change with their key drivers, compared with the low-risk option.</t>
  </si>
  <si>
    <t xml:space="preserve">Sources</t>
  </si>
  <si>
    <t xml:space="preserve">Every hardcoded number and where it came from.</t>
  </si>
  <si>
    <t xml:space="preserve">Colour key</t>
  </si>
  <si>
    <t xml:space="preserve">1,234</t>
  </si>
  <si>
    <t xml:space="preserve">Blue: hardcoded input or assumption. Change these to test your own view.</t>
  </si>
  <si>
    <t xml:space="preserve">Green: pulled from another sheet.</t>
  </si>
  <si>
    <t xml:space="preserve">Black: formula.</t>
  </si>
  <si>
    <t xml:space="preserve">Yellow fill: key assumption with the most influence on the answer.</t>
  </si>
  <si>
    <t xml:space="preserve">Units</t>
  </si>
  <si>
    <t xml:space="preserve">$ millions unless the row label says otherwise. Growth rates are year over year.</t>
  </si>
  <si>
    <t xml:space="preserve">Fiscal calendar</t>
  </si>
  <si>
    <t xml:space="preserve">Microsoft's fiscal year runs July 1 to June 30. FY26 = July 2025 to June 2026. Q1 = Jul-Sep, Q2 = Oct-Dec, Q3 = Jan-Mar, Q4 = Apr-Jun.</t>
  </si>
  <si>
    <t xml:space="preserve">Quarterly revenue by business line ($M)</t>
  </si>
  <si>
    <t xml:space="preserve">Source: Microsoft Form 8-K, 'FY27 Segments and Investor Metrics', September 2026 (Exhibit 99.1), and FY26 earnings releases. See Sources tab.</t>
  </si>
  <si>
    <t xml:space="preserve">Metric</t>
  </si>
  <si>
    <t xml:space="preserve">FY25 Q1
Jul-Sep 2024</t>
  </si>
  <si>
    <t xml:space="preserve">FY25 Q2
Oct-Dec 2024</t>
  </si>
  <si>
    <t xml:space="preserve">FY25 Q3
Jan-Mar 2025</t>
  </si>
  <si>
    <t xml:space="preserve">FY25 Q4
Apr-Jun 2025</t>
  </si>
  <si>
    <t xml:space="preserve">FY26 Q1
Jul-Sep 2025</t>
  </si>
  <si>
    <t xml:space="preserve">FY26 Q2
Oct-Dec 2025</t>
  </si>
  <si>
    <t xml:space="preserve">FY26 Q3
Jan-Mar 2026</t>
  </si>
  <si>
    <t xml:space="preserve">FY26 Q4
Apr-Jun 2026</t>
  </si>
  <si>
    <t xml:space="preserve">FY25
Jul 2024-Jun 2025</t>
  </si>
  <si>
    <t xml:space="preserve">FY26
Jul 2025-Jun 2026</t>
  </si>
  <si>
    <t xml:space="preserve">Note</t>
  </si>
  <si>
    <t xml:space="preserve">Search advertising revenue, as reported</t>
  </si>
  <si>
    <t xml:space="preserve">Bing, Copilot, Edge and third-party affiliates; gross of traffic acquisition costs</t>
  </si>
  <si>
    <t xml:space="preserve">Microsoft 365 consumer products and cloud</t>
  </si>
  <si>
    <t xml:space="preserve">Personal, Family, Premium subscriptions and Office consumer licences</t>
  </si>
  <si>
    <t xml:space="preserve">Windows and devices</t>
  </si>
  <si>
    <t xml:space="preserve">XBOX</t>
  </si>
  <si>
    <t xml:space="preserve">Devices and Consumer segment, restated</t>
  </si>
  <si>
    <t xml:space="preserve">New FY27 segment: search and advertising, XBOX, Windows OEM and devices</t>
  </si>
  <si>
    <t xml:space="preserve">Search and advertising, restated</t>
  </si>
  <si>
    <t xml:space="preserve">Adds LinkedIn Marketing Solutions and Premium Subscriptions</t>
  </si>
  <si>
    <t xml:space="preserve">Year-over-year growth</t>
  </si>
  <si>
    <t xml:space="preserve">Disclosed growth metrics</t>
  </si>
  <si>
    <t xml:space="preserve">Search ad revenue ex-TAC growth, as reported basis</t>
  </si>
  <si>
    <t xml:space="preserve">Earnings releases; FY26 restatement filing</t>
  </si>
  <si>
    <t xml:space="preserve">Search and advertising ex-TAC growth, restated basis</t>
  </si>
  <si>
    <t xml:space="preserve">September 2026 restatement filing</t>
  </si>
  <si>
    <t xml:space="preserve">Microsoft 365 consumer cloud revenue growth</t>
  </si>
  <si>
    <t xml:space="preserve">FY26 Q2 and Q4 earnings calls; Q1 and Q3 not stated in sources used</t>
  </si>
  <si>
    <t xml:space="preserve">Microsoft 365 consumer subscription growth</t>
  </si>
  <si>
    <t xml:space="preserve">FY26 Q2 earnings call: revenue growth driven by revenue per subscriber</t>
  </si>
  <si>
    <t xml:space="preserve">How good is Microsoft's search-ads guidance? Backtest, FY25 Q4 to FY26 Q4</t>
  </si>
  <si>
    <t xml:space="preserve">Search ad revenue ex-TAC growth, as reported basis. Guidance is the wording given on the prior quarter's earnings call (Microsoft investor relations transcripts), converted to a numeric range.</t>
  </si>
  <si>
    <t xml:space="preserve">Quarter</t>
  </si>
  <si>
    <t xml:space="preserve">Guidance given (words)</t>
  </si>
  <si>
    <t xml:space="preserve">Guide low</t>
  </si>
  <si>
    <t xml:space="preserve">Guide high</t>
  </si>
  <si>
    <t xml:space="preserve">Guide midpoint</t>
  </si>
  <si>
    <t xml:space="preserve">Actual growth</t>
  </si>
  <si>
    <t xml:space="preserve">Naive forecast (prior qtr actual)</t>
  </si>
  <si>
    <t xml:space="preserve">Guidance error (mid - actual)</t>
  </si>
  <si>
    <t xml:space="preserve">Naive error</t>
  </si>
  <si>
    <t xml:space="preserve">Beat vs midpoint (actual - mid)</t>
  </si>
  <si>
    <t xml:space="preserve">Bias-corrected forecast</t>
  </si>
  <si>
    <t xml:space="preserve">Bias-corrected error</t>
  </si>
  <si>
    <t xml:space="preserve">|Guidance error|</t>
  </si>
  <si>
    <t xml:space="preserve">|Naive error|</t>
  </si>
  <si>
    <t xml:space="preserve">|Bias-corrected error|</t>
  </si>
  <si>
    <t xml:space="preserve">FY25 Q4 (Apr-Jun 2025)</t>
  </si>
  <si>
    <t xml:space="preserve">High teens</t>
  </si>
  <si>
    <t xml:space="preserve">FY26 Q1 (Jul-Sep 2025)</t>
  </si>
  <si>
    <t xml:space="preserve">Low- to mid-teens</t>
  </si>
  <si>
    <t xml:space="preserve">FY26 Q2 (Oct-Dec 2025)</t>
  </si>
  <si>
    <t xml:space="preserve">Low double digits</t>
  </si>
  <si>
    <t xml:space="preserve">FY26 Q3 (Jan-Mar 2026)</t>
  </si>
  <si>
    <t xml:space="preserve">High single digits</t>
  </si>
  <si>
    <t xml:space="preserve">FY26 Q4 (Apr-Jun 2026)</t>
  </si>
  <si>
    <t xml:space="preserve">Summary</t>
  </si>
  <si>
    <t xml:space="preserve">Quarters with guidance found</t>
  </si>
  <si>
    <t xml:space="preserve">Mean absolute error, guidance midpoint</t>
  </si>
  <si>
    <t xml:space="preserve">Mean absolute error, naive method (same quarters)</t>
  </si>
  <si>
    <t xml:space="preserve">Average beat vs guidance midpoint</t>
  </si>
  <si>
    <t xml:space="preserve">Quarters with a bias-corrected forecast (needs a prior beat)</t>
  </si>
  <si>
    <t xml:space="preserve">Mean absolute error, bias-corrected guidance</t>
  </si>
  <si>
    <t xml:space="preserve">Mean absolute error, raw guidance (same quarters)</t>
  </si>
  <si>
    <t xml:space="preserve">Reading: the actual result came in above the guidance midpoint in four of five quarters. The exception, FY26 Q2, Microsoft described as slightly below expectations due to execution challenges. Adding the average past beat to the midpoint reduced the error, but five quarters is a small sample: a pattern to watch, not a proven rule.</t>
  </si>
  <si>
    <t xml:space="preserve">FY27 Q1 forecast (quarter ending September 30, 2026)</t>
  </si>
  <si>
    <t xml:space="preserve">Made before Microsoft reports in late October 2026. Guidance from the July 29, 2026 call and the September 2026 restatement filing.</t>
  </si>
  <si>
    <t xml:space="preserve">Search advertising</t>
  </si>
  <si>
    <t xml:space="preserve">As reported basis</t>
  </si>
  <si>
    <t xml:space="preserve">Restated basis</t>
  </si>
  <si>
    <t xml:space="preserve">Guidance, words</t>
  </si>
  <si>
    <t xml:space="preserve">Mid-single digits</t>
  </si>
  <si>
    <t xml:space="preserve">Mid- to high-single digits</t>
  </si>
  <si>
    <t xml:space="preserve">Ex-TAC growth</t>
  </si>
  <si>
    <t xml:space="preserve">Interpretation of the guidance wording</t>
  </si>
  <si>
    <t xml:space="preserve">Average historical beat (Backtest)</t>
  </si>
  <si>
    <t xml:space="preserve">Restated basis assumes the same beat</t>
  </si>
  <si>
    <t xml:space="preserve">Bias-corrected forecast, ex-TAC growth</t>
  </si>
  <si>
    <t xml:space="preserve">Naive forecast (FY26 Q4 actual)</t>
  </si>
  <si>
    <t xml:space="preserve">Implied reported search advertising revenue</t>
  </si>
  <si>
    <t xml:space="preserve">FY26 Q1 revenue ($M)</t>
  </si>
  <si>
    <t xml:space="preserve">Gap: reported growth minus ex-TAC growth, FY26</t>
  </si>
  <si>
    <t xml:space="preserve">TAC grew faster than revenue in FY26</t>
  </si>
  <si>
    <t xml:space="preserve">Forecast FY27 Q1 revenue ($M)</t>
  </si>
  <si>
    <t xml:space="preserve">Microsoft 365 consumer</t>
  </si>
  <si>
    <t xml:space="preserve">Guidance: consumer cloud growth</t>
  </si>
  <si>
    <t xml:space="preserve">Mid-teens</t>
  </si>
  <si>
    <t xml:space="preserve">FY26 Q1 products and cloud revenue ($M)</t>
  </si>
  <si>
    <t xml:space="preserve">Approximation: guidance covers the cloud portion only</t>
  </si>
  <si>
    <t xml:space="preserve">Devices and Consumer segment (restated)</t>
  </si>
  <si>
    <t xml:space="preserve">Guidance low ($M)</t>
  </si>
  <si>
    <t xml:space="preserve">Guidance high ($M)</t>
  </si>
  <si>
    <t xml:space="preserve">FY26 Q1 restated ($M)</t>
  </si>
  <si>
    <t xml:space="preserve">Implied growth at guidance midpoint</t>
  </si>
  <si>
    <t xml:space="preserve">Decline driven by Windows OEM (guided down low-twenties) and XBOX</t>
  </si>
  <si>
    <t xml:space="preserve">Consumer Copilot monetization: three options, FY27 to FY29</t>
  </si>
  <si>
    <t xml:space="preserve">Incremental to today's plan. Options can be combined; each is sized on its own so they can be compared.</t>
  </si>
  <si>
    <t xml:space="preserve">Shared inputs</t>
  </si>
  <si>
    <t xml:space="preserve">Microsoft 365 consumer revenue, FY26 ($M)</t>
  </si>
  <si>
    <t xml:space="preserve">Data tab</t>
  </si>
  <si>
    <t xml:space="preserve">Cloud share of that revenue</t>
  </si>
  <si>
    <t xml:space="preserve">Assumption: excludes Office consumer licences</t>
  </si>
  <si>
    <t xml:space="preserve">Blended revenue per paid subscriber per year ($)</t>
  </si>
  <si>
    <t xml:space="preserve">Assumption: mix of Personal, Family, Premium, legacy plans, discounts</t>
  </si>
  <si>
    <t xml:space="preserve">Implied paid consumer subscribers (M)</t>
  </si>
  <si>
    <t xml:space="preserve">Microsoft stopped disclosing this count in FY26 Q1, so it is derived</t>
  </si>
  <si>
    <t xml:space="preserve">Subscriber growth per year</t>
  </si>
  <si>
    <t xml:space="preserve">Assumption</t>
  </si>
  <si>
    <t xml:space="preserve">Free Copilot consumer monthly users, FY26 (M)</t>
  </si>
  <si>
    <t xml:space="preserve">Third-party estimates range 218M to 420M depending on surfaces counted</t>
  </si>
  <si>
    <t xml:space="preserve">Monthly user growth per year</t>
  </si>
  <si>
    <t xml:space="preserve">Discount rate</t>
  </si>
  <si>
    <t xml:space="preserve">Bing monthly users (M)</t>
  </si>
  <si>
    <t xml:space="preserve">Disclosed on the FY26 Q3 earnings call</t>
  </si>
  <si>
    <t xml:space="preserve">Search ad revenue per Bing user per year ($)</t>
  </si>
  <si>
    <t xml:space="preserve">Benchmark for ad yield</t>
  </si>
  <si>
    <t xml:space="preserve">Option A: upsell the Microsoft 365 consumer ladder to Premium</t>
  </si>
  <si>
    <t xml:space="preserve">Premium price per year ($)</t>
  </si>
  <si>
    <t xml:space="preserve">Published US price</t>
  </si>
  <si>
    <t xml:space="preserve">Family price per year ($)</t>
  </si>
  <si>
    <t xml:space="preserve">Price step per upgrade ($)</t>
  </si>
  <si>
    <t xml:space="preserve">Share of list price realised</t>
  </si>
  <si>
    <t xml:space="preserve">Assumption: promotions, regional pricing</t>
  </si>
  <si>
    <t xml:space="preserve">Premium share of subscribers today</t>
  </si>
  <si>
    <t xml:space="preserve">Added AI cost per upgraded subscriber per year ($)</t>
  </si>
  <si>
    <t xml:space="preserve">Assumption: higher usage limits</t>
  </si>
  <si>
    <t xml:space="preserve">Premium share of subscribers, target</t>
  </si>
  <si>
    <t xml:space="preserve">Option B: launch a low-price AI tier (no Office apps)</t>
  </si>
  <si>
    <t xml:space="preserve">Price per month ($)</t>
  </si>
  <si>
    <t xml:space="preserve">Matches Google AI Plus and ChatGPT Go</t>
  </si>
  <si>
    <t xml:space="preserve">Price per year ($)</t>
  </si>
  <si>
    <t xml:space="preserve">Cost to serve per subscriber per year ($)</t>
  </si>
  <si>
    <t xml:space="preserve">Acquisition cost per new subscriber ($)</t>
  </si>
  <si>
    <t xml:space="preserve">Share of new subscribers who downgrade from Personal</t>
  </si>
  <si>
    <t xml:space="preserve">Personal price per year ($)</t>
  </si>
  <si>
    <t xml:space="preserve">Revenue lost per downgrade ($)</t>
  </si>
  <si>
    <t xml:space="preserve">Paid conversion of free monthly users</t>
  </si>
  <si>
    <t xml:space="preserve">Option C: scale ads in free Copilot (Microsoft already serves Copilot ads; current yield is not disclosed)</t>
  </si>
  <si>
    <t xml:space="preserve">Share of monthly users in ad markets</t>
  </si>
  <si>
    <t xml:space="preserve">Cannibalisation of Bing search ads</t>
  </si>
  <si>
    <t xml:space="preserve">Assumption: some Copilot queries replace Bing queries</t>
  </si>
  <si>
    <t xml:space="preserve">Ad serving and operations cost (% of revenue)</t>
  </si>
  <si>
    <t xml:space="preserve">Ad revenue per user in ad markets per year ($)</t>
  </si>
  <si>
    <t xml:space="preserve">FY29 ad yield as % of Bing yield</t>
  </si>
  <si>
    <t xml:space="preserve">Sanity check against Bing</t>
  </si>
  <si>
    <t xml:space="preserve">FY27 (Jul 2026-Jun 2027)</t>
  </si>
  <si>
    <t xml:space="preserve">FY28 (Jul 2027-Jun 2028)</t>
  </si>
  <si>
    <t xml:space="preserve">FY29 (Jul 2028-Jun 2029)</t>
  </si>
  <si>
    <t xml:space="preserve">Year index</t>
  </si>
  <si>
    <t xml:space="preserve">Paid consumer subscribers (M)</t>
  </si>
  <si>
    <t xml:space="preserve">Free Copilot monthly users (M)</t>
  </si>
  <si>
    <t xml:space="preserve">Option A: upgraded subscribers (M)</t>
  </si>
  <si>
    <t xml:space="preserve">Revenue ($M)</t>
  </si>
  <si>
    <t xml:space="preserve">Cost ($M)</t>
  </si>
  <si>
    <t xml:space="preserve">Gross profit ($M)</t>
  </si>
  <si>
    <t xml:space="preserve">Option B: entry-tier subscribers (M)</t>
  </si>
  <si>
    <t xml:space="preserve">New subscribers in year (M)</t>
  </si>
  <si>
    <t xml:space="preserve">Revenue, net of downgrades ($M)</t>
  </si>
  <si>
    <t xml:space="preserve">Option C: users in ad markets (M)</t>
  </si>
  <si>
    <t xml:space="preserve">Gross ad revenue ($M)</t>
  </si>
  <si>
    <t xml:space="preserve">Less cannibalised Bing ad revenue ($M)</t>
  </si>
  <si>
    <t xml:space="preserve">Net revenue ($M)</t>
  </si>
  <si>
    <t xml:space="preserve">FY29 revenue ($M)</t>
  </si>
  <si>
    <t xml:space="preserve">FY29 gross profit ($M)</t>
  </si>
  <si>
    <t xml:space="preserve">3-year gross profit ($M)</t>
  </si>
  <si>
    <t xml:space="preserve">NPV of gross profit ($M)</t>
  </si>
  <si>
    <t xml:space="preserve">Rank by NPV</t>
  </si>
  <si>
    <t xml:space="preserve">A: Premium upsell</t>
  </si>
  <si>
    <t xml:space="preserve">B: Low-price AI tier</t>
  </si>
  <si>
    <t xml:space="preserve">C: Scale ads in free Copilot</t>
  </si>
  <si>
    <t xml:space="preserve">Where each option lands in Microsoft's FY27 reporting: A and B grow Microsoft 365 consumer cloud (Agents and Infra segment). C grows Search and advertising (Devices and Consumer segment), net of its own Bing cannibalisation.</t>
  </si>
  <si>
    <t xml:space="preserve">Sensitivity: when do the uncertain options beat the safe one?</t>
  </si>
  <si>
    <t xml:space="preserve">Values are NPV of gross profit ($M). Green cells beat Option A's NPV. Ramps for FY27 and FY28 scale in proportion to the Business Case inputs.</t>
  </si>
  <si>
    <t xml:space="preserve">Option A NPV ($M), for comparison</t>
  </si>
  <si>
    <t xml:space="preserve">Option C: FY29 ad revenue per user (rows) by Bing cannibalisation (columns)</t>
  </si>
  <si>
    <t xml:space="preserve">$ per user / cannibalisation</t>
  </si>
  <si>
    <t xml:space="preserve">Option B: FY29 paid conversion (rows) by monthly price (columns)</t>
  </si>
  <si>
    <t xml:space="preserve">Conversion / price</t>
  </si>
  <si>
    <t xml:space="preserve">Price and conversion are set independently here. In practice a higher price lowers conversion, so compare realistic pairs (for example 1.5% at $7.99 against 0.8% at $12.99).</t>
  </si>
  <si>
    <t xml:space="preserve">Check: base case cells should equal the Business Case NPVs</t>
  </si>
  <si>
    <t xml:space="preserve">Option C at $3.00 and 30% (should match Business Case E69)</t>
  </si>
  <si>
    <t xml:space="preserve">Option B at 1.5% and $7.99 (should match Business Case E68)</t>
  </si>
  <si>
    <t xml:space="preserve">Item</t>
  </si>
  <si>
    <t xml:space="preserve">Source</t>
  </si>
  <si>
    <t xml:space="preserve">Quarterly revenue by business line, FY25 Q1 to FY26 Q4; restated segments; FY27 Q1 adjusted outlook</t>
  </si>
  <si>
    <t xml:space="preserve">Microsoft Form 8-K Exhibit 99.1, FY27 Segments and Investor Metrics, September 2026: https://www.sec.gov/Archives/edgar/data/789019/000119312526380280/d291965dex991.htm</t>
  </si>
  <si>
    <t xml:space="preserve">FY26 Q4 results, FY27 Q1 outlook</t>
  </si>
  <si>
    <t xml:space="preserve">Microsoft FY26 Q4 earnings release: https://microsoft.com/en-us/investor/earnings/fy-2026-q4/press-release-webcast</t>
  </si>
  <si>
    <t xml:space="preserve">Search ex-TAC growth FY26 Q2 (10%) and Q3 (12%)</t>
  </si>
  <si>
    <t xml:space="preserve">Microsoft 8-K earnings releases, Jan 28 and Apr 29, 2026 (SEC EDGAR)</t>
  </si>
  <si>
    <t xml:space="preserve">Guidance wording, FY26 Q1 to FY26 Q4 and FY27 Q1; consumer cloud and subscription growth, FY26 Q2</t>
  </si>
  <si>
    <t xml:space="preserve">Microsoft earnings call transcripts: FY25 Q4 (Jul 30, 2025) https://www.microsoft.com/en-us/investor/events/fy-2025/earnings-fy-2025-q4 ; FY26 Q1 (Oct 29, 2025) https://www.microsoft.com/en-us/investor/events/fy-2026/earnings-fy-2026-q1 ; FY26 Q2 (Jan 28, 2026) https://www.microsoft.com/en-us/investor/events/fy-2026/earnings-fy-2026-q2 ; FY26 Q3 (Apr 29, 2026) https://www.microsoft.com/en-us/investor/events/fy-2026/earnings-fy-2026-q3 ; FY26 Q4 (Jul 29, 2026) https://www.microsoft.com/en-us/investor/events/fy-2026/earnings-fy-2026-q4</t>
  </si>
  <si>
    <t xml:space="preserve">Guidance: FY25 Q4 'high teens'</t>
  </si>
  <si>
    <t xml:space="preserve">PPC Land, FY25 Q3 earnings coverage: https://ppc.land/microsoft-ad-revenue-tops-20-billion-as-copilot-transforms-search/</t>
  </si>
  <si>
    <t xml:space="preserve">Guidance: FY26 Q1 'low- to mid-teens'; FY25 Q4 actual 21%</t>
  </si>
  <si>
    <t xml:space="preserve">PPC Land, FY25 Q4 coverage: https://ppc.land/microsoft-search-advertising-revenue-climbs-21-in-record-quarter/</t>
  </si>
  <si>
    <t xml:space="preserve">Guidance: FY26 Q4 'high single digits'; Bing 1B monthly users</t>
  </si>
  <si>
    <t xml:space="preserve">Search Engine Journal: https://www.searchenginejournal.com/microsoft-says-bing-reached-1b-monthly-active-users/573444/</t>
  </si>
  <si>
    <t xml:space="preserve">Microsoft 365 consumer subscriber count no longer disclosed (from FY26 Q1)</t>
  </si>
  <si>
    <t xml:space="preserve">Microsoft Form 10-Q, quarter ended March 31, 2026 (SEC EDGAR)</t>
  </si>
  <si>
    <t xml:space="preserve">Microsoft 365 Personal $99.99, Family $129.99, Premium $199.99 per year; Copilot Pro retired</t>
  </si>
  <si>
    <t xml:space="preserve">https://www.digitalcitizen.life/microsoft-365-personal-and-family-plans-see-a-price-increase-with-copilot-ai/ and https://office-watch.com/2025/microsoft-365-premium-features-pricing/</t>
  </si>
  <si>
    <t xml:space="preserve">ChatGPT Go $8, Google AI Plus $7.99, $20 tiers</t>
  </si>
  <si>
    <t xml:space="preserve">https://aizolo.com/blog/chatgpt-vs-claude-vs-gemini-cost-the-2025-ultimate-price-comparison-spoiler-theres-a-better-way/</t>
  </si>
  <si>
    <t xml:space="preserve">ChatGPT ~50M paying subscribers, ~900M weekly users; ads on Free and Go tiers from Feb 2026</t>
  </si>
  <si>
    <t xml:space="preserve">https://intuitionlabs.ai/articles/chatgpt-ads-economic-analysis</t>
  </si>
  <si>
    <t xml:space="preserve">Copilot consumer monthly users estimate 218M to 420M</t>
  </si>
  <si>
    <t xml:space="preserve">https://landing.inkboard.ink/resources/advertising-in-ai-assistants-chatgpt-gemini-perplexity (third-party estimate)</t>
  </si>
  <si>
    <t xml:space="preserve">All other inputs</t>
  </si>
  <si>
    <t xml:space="preserve">Analyst assumptions, marked in blue on the Business Case tab</t>
  </si>
</sst>
</file>

<file path=xl/styles.xml><?xml version="1.0" encoding="utf-8"?>
<styleSheet xmlns="http://schemas.openxmlformats.org/spreadsheetml/2006/main">
  <numFmts count="6">
    <numFmt numFmtId="164" formatCode="General"/>
    <numFmt numFmtId="165" formatCode="\$#,##0;&quot;($&quot;#,##0\);\-"/>
    <numFmt numFmtId="166" formatCode="0.0%;\(0.0%\);\-"/>
    <numFmt numFmtId="167" formatCode="0"/>
    <numFmt numFmtId="168" formatCode="\$#,##0.00;&quot;($&quot;#,##0.00\);\-"/>
    <numFmt numFmtId="169" formatCode="#,##0.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1"/>
      <name val="Arial"/>
      <family val="0"/>
      <charset val="1"/>
    </font>
    <font>
      <sz val="11"/>
      <name val="Arial"/>
      <family val="0"/>
      <charset val="1"/>
    </font>
    <font>
      <sz val="11"/>
      <color rgb="FF0000FF"/>
      <name val="Arial"/>
      <family val="0"/>
      <charset val="1"/>
    </font>
    <font>
      <sz val="11"/>
      <color rgb="FF008000"/>
      <name val="Arial"/>
      <family val="0"/>
      <charset val="1"/>
    </font>
    <font>
      <b val="true"/>
      <sz val="11"/>
      <color rgb="FFFFFFFF"/>
      <name val="Arial"/>
      <family val="0"/>
      <charset val="1"/>
    </font>
    <font>
      <b val="true"/>
      <sz val="11"/>
      <color rgb="FF008000"/>
      <name val="Arial"/>
      <family val="0"/>
      <charset val="1"/>
    </font>
    <font>
      <b val="true"/>
      <sz val="11"/>
      <color rgb="FF0000FF"/>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1F3A5F"/>
        <bgColor rgb="FF333333"/>
      </patternFill>
    </fill>
    <fill>
      <patternFill patternType="solid">
        <fgColor rgb="FFE8EEF4"/>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center" vertical="center"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6" fillId="4"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6" fillId="4"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8" fillId="2"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false" applyProtection="false">
      <alignment horizontal="general" vertical="bottom" textRotation="0" wrapText="false" indent="0" shrinkToFit="false"/>
      <protection locked="true" hidden="false"/>
    </xf>
    <xf numFmtId="168" fontId="8" fillId="2"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EE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26.85" hidden="false" customHeight="false" outlineLevel="0" collapsed="false">
      <c r="A4" s="3" t="s">
        <v>2</v>
      </c>
      <c r="B4" s="4" t="s">
        <v>3</v>
      </c>
    </row>
    <row r="5" customFormat="false" ht="26.85" hidden="false" customHeight="false" outlineLevel="0" collapsed="false">
      <c r="A5" s="3" t="s">
        <v>4</v>
      </c>
      <c r="B5" s="4" t="s">
        <v>5</v>
      </c>
    </row>
    <row r="6" customFormat="false" ht="26.8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15" hidden="false" customHeight="false" outlineLevel="0" collapsed="false">
      <c r="A10" s="3" t="s">
        <v>14</v>
      </c>
      <c r="B10" s="4" t="s">
        <v>15</v>
      </c>
    </row>
    <row r="12" customFormat="false" ht="15" hidden="false" customHeight="false" outlineLevel="0" collapsed="false">
      <c r="A12" s="3" t="s">
        <v>16</v>
      </c>
    </row>
    <row r="13" customFormat="false" ht="15" hidden="false" customHeight="false" outlineLevel="0" collapsed="false">
      <c r="A13" s="5" t="s">
        <v>17</v>
      </c>
      <c r="B13" s="6" t="s">
        <v>18</v>
      </c>
    </row>
    <row r="14" customFormat="false" ht="15" hidden="false" customHeight="false" outlineLevel="0" collapsed="false">
      <c r="A14" s="7" t="s">
        <v>17</v>
      </c>
      <c r="B14" s="6" t="s">
        <v>19</v>
      </c>
    </row>
    <row r="15" customFormat="false" ht="15" hidden="false" customHeight="false" outlineLevel="0" collapsed="false">
      <c r="A15" s="6" t="s">
        <v>17</v>
      </c>
      <c r="B15" s="6" t="s">
        <v>20</v>
      </c>
    </row>
    <row r="16" customFormat="false" ht="15" hidden="false" customHeight="false" outlineLevel="0" collapsed="false">
      <c r="A16" s="8"/>
      <c r="B16" s="6" t="s">
        <v>21</v>
      </c>
    </row>
    <row r="18" customFormat="false" ht="15" hidden="false" customHeight="false" outlineLevel="0" collapsed="false">
      <c r="A18" s="3" t="s">
        <v>22</v>
      </c>
      <c r="B18" s="6" t="s">
        <v>23</v>
      </c>
    </row>
    <row r="19" customFormat="false" ht="15" hidden="false" customHeight="false" outlineLevel="0" collapsed="false">
      <c r="A19" s="3" t="s">
        <v>24</v>
      </c>
      <c r="B19" s="6"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11" min="2" style="0" width="11"/>
    <col collapsed="false" customWidth="true" hidden="false" outlineLevel="0" max="12" min="12" style="0" width="70"/>
  </cols>
  <sheetData>
    <row r="1" customFormat="false" ht="17.35" hidden="false" customHeight="false" outlineLevel="0" collapsed="false">
      <c r="A1" s="1" t="s">
        <v>26</v>
      </c>
    </row>
    <row r="2" customFormat="false" ht="15" hidden="false" customHeight="false" outlineLevel="0" collapsed="false">
      <c r="A2" s="2" t="s">
        <v>27</v>
      </c>
    </row>
    <row r="4" customFormat="false" ht="42" hidden="false" customHeight="true" outlineLevel="0" collapsed="false">
      <c r="A4" s="9" t="s">
        <v>28</v>
      </c>
      <c r="B4" s="9" t="s">
        <v>29</v>
      </c>
      <c r="C4" s="9" t="s">
        <v>30</v>
      </c>
      <c r="D4" s="9" t="s">
        <v>31</v>
      </c>
      <c r="E4" s="9" t="s">
        <v>32</v>
      </c>
      <c r="F4" s="9" t="s">
        <v>33</v>
      </c>
      <c r="G4" s="9" t="s">
        <v>34</v>
      </c>
      <c r="H4" s="9" t="s">
        <v>35</v>
      </c>
      <c r="I4" s="9" t="s">
        <v>36</v>
      </c>
      <c r="J4" s="9" t="s">
        <v>37</v>
      </c>
      <c r="K4" s="9" t="s">
        <v>38</v>
      </c>
      <c r="L4" s="9" t="s">
        <v>39</v>
      </c>
    </row>
    <row r="5" customFormat="false" ht="15" hidden="false" customHeight="false" outlineLevel="0" collapsed="false">
      <c r="A5" s="6" t="s">
        <v>40</v>
      </c>
      <c r="B5" s="10" t="n">
        <v>3225</v>
      </c>
      <c r="C5" s="10" t="n">
        <v>3558</v>
      </c>
      <c r="D5" s="10" t="n">
        <v>3504</v>
      </c>
      <c r="E5" s="10" t="n">
        <v>3591</v>
      </c>
      <c r="F5" s="10" t="n">
        <v>3697</v>
      </c>
      <c r="G5" s="10" t="n">
        <v>3812</v>
      </c>
      <c r="H5" s="10" t="n">
        <v>3808</v>
      </c>
      <c r="I5" s="10" t="n">
        <v>3859</v>
      </c>
      <c r="J5" s="11" t="n">
        <f aca="false">SUM(B5:E5)</f>
        <v>13878</v>
      </c>
      <c r="K5" s="11" t="n">
        <f aca="false">SUM(F5:I5)</f>
        <v>15176</v>
      </c>
      <c r="L5" s="2" t="s">
        <v>41</v>
      </c>
    </row>
    <row r="6" customFormat="false" ht="15" hidden="false" customHeight="false" outlineLevel="0" collapsed="false">
      <c r="A6" s="6" t="s">
        <v>42</v>
      </c>
      <c r="B6" s="10" t="n">
        <v>1727</v>
      </c>
      <c r="C6" s="10" t="n">
        <v>1821</v>
      </c>
      <c r="D6" s="10" t="n">
        <v>1821</v>
      </c>
      <c r="E6" s="10" t="n">
        <v>2035</v>
      </c>
      <c r="F6" s="10" t="n">
        <v>2204</v>
      </c>
      <c r="G6" s="10" t="n">
        <v>2305</v>
      </c>
      <c r="H6" s="10" t="n">
        <v>2297</v>
      </c>
      <c r="I6" s="10" t="n">
        <v>2369</v>
      </c>
      <c r="J6" s="11" t="n">
        <f aca="false">SUM(B6:E6)</f>
        <v>7404</v>
      </c>
      <c r="K6" s="11" t="n">
        <f aca="false">SUM(F6:I6)</f>
        <v>9175</v>
      </c>
      <c r="L6" s="2" t="s">
        <v>43</v>
      </c>
    </row>
    <row r="7" customFormat="false" ht="15" hidden="false" customHeight="false" outlineLevel="0" collapsed="false">
      <c r="A7" s="6" t="s">
        <v>44</v>
      </c>
      <c r="B7" s="10" t="n">
        <v>4329</v>
      </c>
      <c r="C7" s="10" t="n">
        <v>4512</v>
      </c>
      <c r="D7" s="10" t="n">
        <v>4144</v>
      </c>
      <c r="E7" s="10" t="n">
        <v>4329</v>
      </c>
      <c r="F7" s="10" t="n">
        <v>4551</v>
      </c>
      <c r="G7" s="10" t="n">
        <v>4479</v>
      </c>
      <c r="H7" s="10" t="n">
        <v>4041</v>
      </c>
      <c r="I7" s="10" t="n">
        <v>4013</v>
      </c>
      <c r="J7" s="11" t="n">
        <f aca="false">SUM(B7:E7)</f>
        <v>17314</v>
      </c>
      <c r="K7" s="11" t="n">
        <f aca="false">SUM(F7:I7)</f>
        <v>17084</v>
      </c>
      <c r="L7" s="2"/>
    </row>
    <row r="8" customFormat="false" ht="15" hidden="false" customHeight="false" outlineLevel="0" collapsed="false">
      <c r="A8" s="6" t="s">
        <v>45</v>
      </c>
      <c r="B8" s="10" t="n">
        <v>5621</v>
      </c>
      <c r="C8" s="10" t="n">
        <v>6581</v>
      </c>
      <c r="D8" s="10" t="n">
        <v>5721</v>
      </c>
      <c r="E8" s="10" t="n">
        <v>5532</v>
      </c>
      <c r="F8" s="10" t="n">
        <v>5508</v>
      </c>
      <c r="G8" s="10" t="n">
        <v>5958</v>
      </c>
      <c r="H8" s="10" t="n">
        <v>5341</v>
      </c>
      <c r="I8" s="10" t="n">
        <v>4983</v>
      </c>
      <c r="J8" s="11" t="n">
        <f aca="false">SUM(B8:E8)</f>
        <v>23455</v>
      </c>
      <c r="K8" s="11" t="n">
        <f aca="false">SUM(F8:I8)</f>
        <v>21790</v>
      </c>
      <c r="L8" s="2"/>
    </row>
    <row r="9" customFormat="false" ht="15" hidden="false" customHeight="false" outlineLevel="0" collapsed="false">
      <c r="A9" s="6" t="s">
        <v>46</v>
      </c>
      <c r="B9" s="10" t="n">
        <v>15109</v>
      </c>
      <c r="C9" s="10" t="n">
        <v>16866</v>
      </c>
      <c r="D9" s="10" t="n">
        <v>15303</v>
      </c>
      <c r="E9" s="10" t="n">
        <v>15663</v>
      </c>
      <c r="F9" s="10" t="n">
        <v>16001</v>
      </c>
      <c r="G9" s="10" t="n">
        <v>16832</v>
      </c>
      <c r="H9" s="10" t="n">
        <v>15448</v>
      </c>
      <c r="I9" s="10" t="n">
        <v>15431</v>
      </c>
      <c r="J9" s="11" t="n">
        <f aca="false">SUM(B9:E9)</f>
        <v>62941</v>
      </c>
      <c r="K9" s="11" t="n">
        <f aca="false">SUM(F9:I9)</f>
        <v>63712</v>
      </c>
      <c r="L9" s="2" t="s">
        <v>47</v>
      </c>
    </row>
    <row r="10" customFormat="false" ht="15" hidden="false" customHeight="false" outlineLevel="0" collapsed="false">
      <c r="A10" s="6" t="s">
        <v>48</v>
      </c>
      <c r="B10" s="10" t="n">
        <v>5159</v>
      </c>
      <c r="C10" s="10" t="n">
        <v>5773</v>
      </c>
      <c r="D10" s="10" t="n">
        <v>5437</v>
      </c>
      <c r="E10" s="10" t="n">
        <v>5802</v>
      </c>
      <c r="F10" s="10" t="n">
        <v>5942</v>
      </c>
      <c r="G10" s="10" t="n">
        <v>6393</v>
      </c>
      <c r="H10" s="10" t="n">
        <v>6065</v>
      </c>
      <c r="I10" s="10" t="n">
        <v>6435</v>
      </c>
      <c r="J10" s="11" t="n">
        <f aca="false">SUM(B10:E10)</f>
        <v>22171</v>
      </c>
      <c r="K10" s="11" t="n">
        <f aca="false">SUM(F10:I10)</f>
        <v>24835</v>
      </c>
      <c r="L10" s="2" t="s">
        <v>49</v>
      </c>
    </row>
    <row r="12" customFormat="false" ht="15" hidden="false" customHeight="false" outlineLevel="0" collapsed="false">
      <c r="A12" s="3" t="s">
        <v>50</v>
      </c>
    </row>
    <row r="13" customFormat="false" ht="42" hidden="false" customHeight="true" outlineLevel="0" collapsed="false">
      <c r="A13" s="9" t="s">
        <v>28</v>
      </c>
      <c r="B13" s="9" t="s">
        <v>29</v>
      </c>
      <c r="C13" s="9" t="s">
        <v>30</v>
      </c>
      <c r="D13" s="9" t="s">
        <v>31</v>
      </c>
      <c r="E13" s="9" t="s">
        <v>32</v>
      </c>
      <c r="F13" s="9" t="s">
        <v>33</v>
      </c>
      <c r="G13" s="9" t="s">
        <v>34</v>
      </c>
      <c r="H13" s="9" t="s">
        <v>35</v>
      </c>
      <c r="I13" s="9" t="s">
        <v>36</v>
      </c>
      <c r="J13" s="9" t="s">
        <v>37</v>
      </c>
      <c r="K13" s="9" t="s">
        <v>38</v>
      </c>
      <c r="L13" s="9" t="s">
        <v>39</v>
      </c>
    </row>
    <row r="14" customFormat="false" ht="15" hidden="false" customHeight="false" outlineLevel="0" collapsed="false">
      <c r="A14" s="6" t="s">
        <v>40</v>
      </c>
      <c r="F14" s="12" t="n">
        <f aca="false">F5/B5-1</f>
        <v>0.146356589147287</v>
      </c>
      <c r="G14" s="12" t="n">
        <f aca="false">G5/C5-1</f>
        <v>0.0713884204609332</v>
      </c>
      <c r="H14" s="12" t="n">
        <f aca="false">H5/D5-1</f>
        <v>0.08675799086758</v>
      </c>
      <c r="I14" s="12" t="n">
        <f aca="false">I5/E5-1</f>
        <v>0.0746310219994431</v>
      </c>
      <c r="K14" s="12" t="n">
        <f aca="false">K5/J5-1</f>
        <v>0.0935293269923621</v>
      </c>
    </row>
    <row r="15" customFormat="false" ht="15" hidden="false" customHeight="false" outlineLevel="0" collapsed="false">
      <c r="A15" s="6" t="s">
        <v>42</v>
      </c>
      <c r="F15" s="12" t="n">
        <f aca="false">F6/B6-1</f>
        <v>0.276201505500869</v>
      </c>
      <c r="G15" s="12" t="n">
        <f aca="false">G6/C6-1</f>
        <v>0.265788028555739</v>
      </c>
      <c r="H15" s="12" t="n">
        <f aca="false">H6/D6-1</f>
        <v>0.261394838001098</v>
      </c>
      <c r="I15" s="12" t="n">
        <f aca="false">I6/E6-1</f>
        <v>0.164127764127764</v>
      </c>
      <c r="K15" s="12" t="n">
        <f aca="false">K6/J6-1</f>
        <v>0.239195029713668</v>
      </c>
    </row>
    <row r="16" customFormat="false" ht="15" hidden="false" customHeight="false" outlineLevel="0" collapsed="false">
      <c r="A16" s="6" t="s">
        <v>44</v>
      </c>
      <c r="F16" s="12" t="n">
        <f aca="false">F7/B7-1</f>
        <v>0.0512820512820513</v>
      </c>
      <c r="G16" s="12" t="n">
        <f aca="false">G7/C7-1</f>
        <v>-0.00731382978723405</v>
      </c>
      <c r="H16" s="12" t="n">
        <f aca="false">H7/D7-1</f>
        <v>-0.0248552123552124</v>
      </c>
      <c r="I16" s="12" t="n">
        <f aca="false">I7/E7-1</f>
        <v>-0.072996072996073</v>
      </c>
      <c r="K16" s="12" t="n">
        <f aca="false">K7/J7-1</f>
        <v>-0.0132840475915444</v>
      </c>
    </row>
    <row r="17" customFormat="false" ht="15" hidden="false" customHeight="false" outlineLevel="0" collapsed="false">
      <c r="A17" s="6" t="s">
        <v>45</v>
      </c>
      <c r="F17" s="12" t="n">
        <f aca="false">F8/B8-1</f>
        <v>-0.0201031844867461</v>
      </c>
      <c r="G17" s="12" t="n">
        <f aca="false">G8/C8-1</f>
        <v>-0.0946664640632123</v>
      </c>
      <c r="H17" s="12" t="n">
        <f aca="false">H8/D8-1</f>
        <v>-0.0664219542038105</v>
      </c>
      <c r="I17" s="12" t="n">
        <f aca="false">I8/E8-1</f>
        <v>-0.0992407809110629</v>
      </c>
      <c r="K17" s="12" t="n">
        <f aca="false">K8/J8-1</f>
        <v>-0.0709869963760392</v>
      </c>
    </row>
    <row r="18" customFormat="false" ht="15" hidden="false" customHeight="false" outlineLevel="0" collapsed="false">
      <c r="A18" s="6" t="s">
        <v>46</v>
      </c>
      <c r="F18" s="12" t="n">
        <f aca="false">F9/B9-1</f>
        <v>0.0590376596730426</v>
      </c>
      <c r="G18" s="12" t="n">
        <f aca="false">G9/C9-1</f>
        <v>-0.00201588995612478</v>
      </c>
      <c r="H18" s="12" t="n">
        <f aca="false">H9/D9-1</f>
        <v>0.00947526628765605</v>
      </c>
      <c r="I18" s="12" t="n">
        <f aca="false">I9/E9-1</f>
        <v>-0.0148119772712763</v>
      </c>
      <c r="K18" s="12" t="n">
        <f aca="false">K9/J9-1</f>
        <v>0.0122495670548608</v>
      </c>
    </row>
    <row r="19" customFormat="false" ht="15" hidden="false" customHeight="false" outlineLevel="0" collapsed="false">
      <c r="A19" s="6" t="s">
        <v>48</v>
      </c>
      <c r="F19" s="12" t="n">
        <f aca="false">F10/B10-1</f>
        <v>0.151773599534794</v>
      </c>
      <c r="G19" s="12" t="n">
        <f aca="false">G10/C10-1</f>
        <v>0.107396500952711</v>
      </c>
      <c r="H19" s="12" t="n">
        <f aca="false">H10/D10-1</f>
        <v>0.115504874011403</v>
      </c>
      <c r="I19" s="12" t="n">
        <f aca="false">I10/E10-1</f>
        <v>0.109100310237849</v>
      </c>
      <c r="K19" s="12" t="n">
        <f aca="false">K10/J10-1</f>
        <v>0.120156961796942</v>
      </c>
    </row>
    <row r="21" customFormat="false" ht="15" hidden="false" customHeight="false" outlineLevel="0" collapsed="false">
      <c r="A21" s="3" t="s">
        <v>51</v>
      </c>
    </row>
    <row r="22" customFormat="false" ht="42" hidden="false" customHeight="true" outlineLevel="0" collapsed="false">
      <c r="A22" s="9" t="s">
        <v>28</v>
      </c>
      <c r="B22" s="9" t="s">
        <v>29</v>
      </c>
      <c r="C22" s="9" t="s">
        <v>30</v>
      </c>
      <c r="D22" s="9" t="s">
        <v>31</v>
      </c>
      <c r="E22" s="9" t="s">
        <v>32</v>
      </c>
      <c r="F22" s="9" t="s">
        <v>33</v>
      </c>
      <c r="G22" s="9" t="s">
        <v>34</v>
      </c>
      <c r="H22" s="9" t="s">
        <v>35</v>
      </c>
      <c r="I22" s="9" t="s">
        <v>36</v>
      </c>
      <c r="J22" s="9" t="s">
        <v>37</v>
      </c>
      <c r="K22" s="9" t="s">
        <v>38</v>
      </c>
      <c r="L22" s="9" t="s">
        <v>39</v>
      </c>
    </row>
    <row r="23" customFormat="false" ht="15" hidden="false" customHeight="false" outlineLevel="0" collapsed="false">
      <c r="A23" s="6" t="s">
        <v>52</v>
      </c>
      <c r="D23" s="13" t="n">
        <v>0.21</v>
      </c>
      <c r="E23" s="13" t="n">
        <v>0.21</v>
      </c>
      <c r="F23" s="13" t="n">
        <v>0.16</v>
      </c>
      <c r="G23" s="13" t="n">
        <v>0.1</v>
      </c>
      <c r="H23" s="13" t="n">
        <v>0.12</v>
      </c>
      <c r="I23" s="13" t="n">
        <v>0.1</v>
      </c>
      <c r="K23" s="13" t="n">
        <v>0.12</v>
      </c>
      <c r="L23" s="2" t="s">
        <v>53</v>
      </c>
    </row>
    <row r="24" customFormat="false" ht="15" hidden="false" customHeight="false" outlineLevel="0" collapsed="false">
      <c r="A24" s="6" t="s">
        <v>54</v>
      </c>
      <c r="F24" s="13" t="n">
        <v>0.16</v>
      </c>
      <c r="G24" s="13" t="n">
        <v>0.13</v>
      </c>
      <c r="H24" s="13" t="n">
        <v>0.14</v>
      </c>
      <c r="I24" s="13" t="n">
        <v>0.13</v>
      </c>
      <c r="K24" s="13" t="n">
        <v>0.14</v>
      </c>
      <c r="L24" s="2" t="s">
        <v>55</v>
      </c>
    </row>
    <row r="25" customFormat="false" ht="15" hidden="false" customHeight="false" outlineLevel="0" collapsed="false">
      <c r="A25" s="6" t="s">
        <v>56</v>
      </c>
      <c r="G25" s="13" t="n">
        <v>0.29</v>
      </c>
      <c r="I25" s="13" t="n">
        <v>0.24</v>
      </c>
      <c r="L25" s="2" t="s">
        <v>57</v>
      </c>
    </row>
    <row r="26" customFormat="false" ht="15" hidden="false" customHeight="false" outlineLevel="0" collapsed="false">
      <c r="A26" s="6" t="s">
        <v>58</v>
      </c>
      <c r="G26" s="13" t="n">
        <v>0.06</v>
      </c>
      <c r="L26" s="2"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0"/>
    <col collapsed="false" customWidth="true" hidden="false" outlineLevel="0" max="15" min="3" style="0" width="13"/>
  </cols>
  <sheetData>
    <row r="1" customFormat="false" ht="17.35" hidden="false" customHeight="false" outlineLevel="0" collapsed="false">
      <c r="A1" s="1" t="s">
        <v>60</v>
      </c>
    </row>
    <row r="2" customFormat="false" ht="15" hidden="false" customHeight="false" outlineLevel="0" collapsed="false">
      <c r="A2" s="2" t="s">
        <v>61</v>
      </c>
    </row>
    <row r="4" customFormat="false" ht="45" hidden="false" customHeight="true" outlineLevel="0" collapsed="false">
      <c r="A4" s="9" t="s">
        <v>62</v>
      </c>
      <c r="B4" s="9" t="s">
        <v>63</v>
      </c>
      <c r="C4" s="9" t="s">
        <v>64</v>
      </c>
      <c r="D4" s="9" t="s">
        <v>65</v>
      </c>
      <c r="E4" s="9" t="s">
        <v>66</v>
      </c>
      <c r="F4" s="9" t="s">
        <v>67</v>
      </c>
      <c r="G4" s="9" t="s">
        <v>68</v>
      </c>
      <c r="H4" s="9" t="s">
        <v>69</v>
      </c>
      <c r="I4" s="9" t="s">
        <v>70</v>
      </c>
      <c r="J4" s="9" t="s">
        <v>71</v>
      </c>
      <c r="K4" s="9" t="s">
        <v>72</v>
      </c>
      <c r="L4" s="9" t="s">
        <v>73</v>
      </c>
      <c r="M4" s="9" t="s">
        <v>74</v>
      </c>
      <c r="N4" s="9" t="s">
        <v>75</v>
      </c>
      <c r="O4" s="9" t="s">
        <v>76</v>
      </c>
    </row>
    <row r="5" customFormat="false" ht="15" hidden="false" customHeight="false" outlineLevel="0" collapsed="false">
      <c r="A5" s="6" t="s">
        <v>77</v>
      </c>
      <c r="B5" s="5" t="s">
        <v>78</v>
      </c>
      <c r="C5" s="13" t="n">
        <v>0.17</v>
      </c>
      <c r="D5" s="13" t="n">
        <v>0.19</v>
      </c>
      <c r="E5" s="12" t="n">
        <f aca="false">IF(AND(ISNUMBER(C5),ISNUMBER(D5)),(C5+D5)/2,"")</f>
        <v>0.18</v>
      </c>
      <c r="F5" s="14" t="n">
        <f aca="false">Data!E23</f>
        <v>0.21</v>
      </c>
      <c r="G5" s="14" t="n">
        <f aca="false">Data!D23</f>
        <v>0.21</v>
      </c>
      <c r="H5" s="12" t="n">
        <f aca="false">IF(ISNUMBER(E5),E5-F5,"")</f>
        <v>-0.03</v>
      </c>
      <c r="I5" s="12" t="n">
        <f aca="false">G5-F5</f>
        <v>0</v>
      </c>
      <c r="J5" s="12" t="n">
        <f aca="false">IF(ISNUMBER(E5),F5-E5,"")</f>
        <v>0.03</v>
      </c>
      <c r="K5" s="6" t="str">
        <f aca="false">""</f>
        <v/>
      </c>
      <c r="L5" s="12" t="str">
        <f aca="false">IF(ISNUMBER(K5),K5-F5,"")</f>
        <v/>
      </c>
      <c r="M5" s="12" t="n">
        <f aca="false">IF(ISNUMBER(H5),ABS(H5),"")</f>
        <v>0.03</v>
      </c>
      <c r="N5" s="12" t="n">
        <f aca="false">ABS(I5)</f>
        <v>0</v>
      </c>
      <c r="O5" s="12" t="str">
        <f aca="false">IF(ISNUMBER(L5),ABS(L5),"")</f>
        <v/>
      </c>
    </row>
    <row r="6" customFormat="false" ht="15" hidden="false" customHeight="false" outlineLevel="0" collapsed="false">
      <c r="A6" s="6" t="s">
        <v>79</v>
      </c>
      <c r="B6" s="5" t="s">
        <v>80</v>
      </c>
      <c r="C6" s="13" t="n">
        <v>0.11</v>
      </c>
      <c r="D6" s="13" t="n">
        <v>0.15</v>
      </c>
      <c r="E6" s="12" t="n">
        <f aca="false">IF(AND(ISNUMBER(C6),ISNUMBER(D6)),(C6+D6)/2,"")</f>
        <v>0.13</v>
      </c>
      <c r="F6" s="14" t="n">
        <f aca="false">Data!F23</f>
        <v>0.16</v>
      </c>
      <c r="G6" s="12" t="n">
        <f aca="false">F5</f>
        <v>0.21</v>
      </c>
      <c r="H6" s="12" t="n">
        <f aca="false">IF(ISNUMBER(E6),E6-F6,"")</f>
        <v>-0.03</v>
      </c>
      <c r="I6" s="12" t="n">
        <f aca="false">G6-F6</f>
        <v>0.05</v>
      </c>
      <c r="J6" s="12" t="n">
        <f aca="false">IF(ISNUMBER(E6),F6-E6,"")</f>
        <v>0.03</v>
      </c>
      <c r="K6" s="12" t="n">
        <f aca="false">IF(AND(ISNUMBER(E6),COUNT(J$5:J5)&gt;0),E6+AVERAGE(J$5:J5),"")</f>
        <v>0.16</v>
      </c>
      <c r="L6" s="12" t="n">
        <f aca="false">IF(ISNUMBER(K6),K6-F6,"")</f>
        <v>0</v>
      </c>
      <c r="M6" s="12" t="n">
        <f aca="false">IF(ISNUMBER(H6),ABS(H6),"")</f>
        <v>0.03</v>
      </c>
      <c r="N6" s="12" t="n">
        <f aca="false">ABS(I6)</f>
        <v>0.05</v>
      </c>
      <c r="O6" s="12" t="n">
        <f aca="false">IF(ISNUMBER(L6),ABS(L6),"")</f>
        <v>0</v>
      </c>
    </row>
    <row r="7" customFormat="false" ht="15" hidden="false" customHeight="false" outlineLevel="0" collapsed="false">
      <c r="A7" s="6" t="s">
        <v>81</v>
      </c>
      <c r="B7" s="5" t="s">
        <v>82</v>
      </c>
      <c r="C7" s="13" t="n">
        <v>0.1</v>
      </c>
      <c r="D7" s="13" t="n">
        <v>0.12</v>
      </c>
      <c r="E7" s="12" t="n">
        <f aca="false">IF(AND(ISNUMBER(C7),ISNUMBER(D7)),(C7+D7)/2,"")</f>
        <v>0.11</v>
      </c>
      <c r="F7" s="14" t="n">
        <f aca="false">Data!G23</f>
        <v>0.1</v>
      </c>
      <c r="G7" s="12" t="n">
        <f aca="false">F6</f>
        <v>0.16</v>
      </c>
      <c r="H7" s="12" t="n">
        <f aca="false">IF(ISNUMBER(E7),E7-F7,"")</f>
        <v>0.01</v>
      </c>
      <c r="I7" s="12" t="n">
        <f aca="false">G7-F7</f>
        <v>0.06</v>
      </c>
      <c r="J7" s="12" t="n">
        <f aca="false">IF(ISNUMBER(E7),F7-E7,"")</f>
        <v>-0.01</v>
      </c>
      <c r="K7" s="12" t="n">
        <f aca="false">IF(AND(ISNUMBER(E7),COUNT(J$5:J6)&gt;0),E7+AVERAGE(J$5:J6),"")</f>
        <v>0.14</v>
      </c>
      <c r="L7" s="12" t="n">
        <f aca="false">IF(ISNUMBER(K7),K7-F7,"")</f>
        <v>0.04</v>
      </c>
      <c r="M7" s="12" t="n">
        <f aca="false">IF(ISNUMBER(H7),ABS(H7),"")</f>
        <v>0.01</v>
      </c>
      <c r="N7" s="12" t="n">
        <f aca="false">ABS(I7)</f>
        <v>0.06</v>
      </c>
      <c r="O7" s="12" t="n">
        <f aca="false">IF(ISNUMBER(L7),ABS(L7),"")</f>
        <v>0.04</v>
      </c>
    </row>
    <row r="8" customFormat="false" ht="15" hidden="false" customHeight="false" outlineLevel="0" collapsed="false">
      <c r="A8" s="6" t="s">
        <v>83</v>
      </c>
      <c r="B8" s="5" t="s">
        <v>84</v>
      </c>
      <c r="C8" s="13" t="n">
        <v>0.07</v>
      </c>
      <c r="D8" s="13" t="n">
        <v>0.09</v>
      </c>
      <c r="E8" s="12" t="n">
        <f aca="false">IF(AND(ISNUMBER(C8),ISNUMBER(D8)),(C8+D8)/2,"")</f>
        <v>0.08</v>
      </c>
      <c r="F8" s="14" t="n">
        <f aca="false">Data!H23</f>
        <v>0.12</v>
      </c>
      <c r="G8" s="12" t="n">
        <f aca="false">F7</f>
        <v>0.1</v>
      </c>
      <c r="H8" s="12" t="n">
        <f aca="false">IF(ISNUMBER(E8),E8-F8,"")</f>
        <v>-0.04</v>
      </c>
      <c r="I8" s="12" t="n">
        <f aca="false">G8-F8</f>
        <v>-0.02</v>
      </c>
      <c r="J8" s="12" t="n">
        <f aca="false">IF(ISNUMBER(E8),F8-E8,"")</f>
        <v>0.04</v>
      </c>
      <c r="K8" s="12" t="n">
        <f aca="false">IF(AND(ISNUMBER(E8),COUNT(J$5:J7)&gt;0),E8+AVERAGE(J$5:J7),"")</f>
        <v>0.0966666666666667</v>
      </c>
      <c r="L8" s="12" t="n">
        <f aca="false">IF(ISNUMBER(K8),K8-F8,"")</f>
        <v>-0.0233333333333333</v>
      </c>
      <c r="M8" s="12" t="n">
        <f aca="false">IF(ISNUMBER(H8),ABS(H8),"")</f>
        <v>0.04</v>
      </c>
      <c r="N8" s="12" t="n">
        <f aca="false">ABS(I8)</f>
        <v>0.02</v>
      </c>
      <c r="O8" s="12" t="n">
        <f aca="false">IF(ISNUMBER(L8),ABS(L8),"")</f>
        <v>0.0233333333333333</v>
      </c>
    </row>
    <row r="9" customFormat="false" ht="15" hidden="false" customHeight="false" outlineLevel="0" collapsed="false">
      <c r="A9" s="6" t="s">
        <v>85</v>
      </c>
      <c r="B9" s="5" t="s">
        <v>84</v>
      </c>
      <c r="C9" s="13" t="n">
        <v>0.07</v>
      </c>
      <c r="D9" s="13" t="n">
        <v>0.09</v>
      </c>
      <c r="E9" s="12" t="n">
        <f aca="false">IF(AND(ISNUMBER(C9),ISNUMBER(D9)),(C9+D9)/2,"")</f>
        <v>0.08</v>
      </c>
      <c r="F9" s="14" t="n">
        <f aca="false">Data!I23</f>
        <v>0.1</v>
      </c>
      <c r="G9" s="12" t="n">
        <f aca="false">F8</f>
        <v>0.12</v>
      </c>
      <c r="H9" s="12" t="n">
        <f aca="false">IF(ISNUMBER(E9),E9-F9,"")</f>
        <v>-0.02</v>
      </c>
      <c r="I9" s="12" t="n">
        <f aca="false">G9-F9</f>
        <v>0.02</v>
      </c>
      <c r="J9" s="12" t="n">
        <f aca="false">IF(ISNUMBER(E9),F9-E9,"")</f>
        <v>0.02</v>
      </c>
      <c r="K9" s="12" t="n">
        <f aca="false">IF(AND(ISNUMBER(E9),COUNT(J$5:J8)&gt;0),E9+AVERAGE(J$5:J8),"")</f>
        <v>0.1025</v>
      </c>
      <c r="L9" s="12" t="n">
        <f aca="false">IF(ISNUMBER(K9),K9-F9,"")</f>
        <v>0.0025</v>
      </c>
      <c r="M9" s="12" t="n">
        <f aca="false">IF(ISNUMBER(H9),ABS(H9),"")</f>
        <v>0.02</v>
      </c>
      <c r="N9" s="12" t="n">
        <f aca="false">ABS(I9)</f>
        <v>0.02</v>
      </c>
      <c r="O9" s="12" t="n">
        <f aca="false">IF(ISNUMBER(L9),ABS(L9),"")</f>
        <v>0.0025</v>
      </c>
    </row>
    <row r="12" customFormat="false" ht="15" hidden="false" customHeight="false" outlineLevel="0" collapsed="false">
      <c r="A12" s="3" t="s">
        <v>86</v>
      </c>
    </row>
    <row r="13" customFormat="false" ht="15" hidden="false" customHeight="false" outlineLevel="0" collapsed="false">
      <c r="A13" s="6" t="s">
        <v>87</v>
      </c>
      <c r="E13" s="15" t="n">
        <f aca="false">COUNT(M5:M9)</f>
        <v>5</v>
      </c>
    </row>
    <row r="14" customFormat="false" ht="15" hidden="false" customHeight="false" outlineLevel="0" collapsed="false">
      <c r="A14" s="6" t="s">
        <v>88</v>
      </c>
      <c r="E14" s="16" t="n">
        <f aca="false">AVERAGE(M5:M9)</f>
        <v>0.026</v>
      </c>
    </row>
    <row r="15" customFormat="false" ht="15" hidden="false" customHeight="false" outlineLevel="0" collapsed="false">
      <c r="A15" s="6" t="s">
        <v>89</v>
      </c>
      <c r="E15" s="16" t="n">
        <f aca="false">SUMPRODUCT(ISNUMBER(M5:M9)*N5:N9)/COUNT(M5:M9)</f>
        <v>0.03</v>
      </c>
    </row>
    <row r="16" customFormat="false" ht="15" hidden="false" customHeight="false" outlineLevel="0" collapsed="false">
      <c r="A16" s="6" t="s">
        <v>90</v>
      </c>
      <c r="E16" s="16" t="n">
        <f aca="false">AVERAGE(J5:J9)</f>
        <v>0.022</v>
      </c>
    </row>
    <row r="17" customFormat="false" ht="15" hidden="false" customHeight="false" outlineLevel="0" collapsed="false">
      <c r="A17" s="6" t="s">
        <v>91</v>
      </c>
      <c r="E17" s="15" t="n">
        <f aca="false">COUNT(O5:O9)</f>
        <v>4</v>
      </c>
    </row>
    <row r="18" customFormat="false" ht="15" hidden="false" customHeight="false" outlineLevel="0" collapsed="false">
      <c r="A18" s="6" t="s">
        <v>92</v>
      </c>
      <c r="E18" s="16" t="n">
        <f aca="false">AVERAGE(O5:O9)</f>
        <v>0.0164583333333333</v>
      </c>
    </row>
    <row r="19" customFormat="false" ht="15" hidden="false" customHeight="false" outlineLevel="0" collapsed="false">
      <c r="A19" s="6" t="s">
        <v>93</v>
      </c>
      <c r="E19" s="16" t="n">
        <f aca="false">AVERAGEIFS(M5:M9,O5:O9,"&gt;=0")</f>
        <v>0.025</v>
      </c>
    </row>
    <row r="20" customFormat="false" ht="15" hidden="false" customHeight="false" outlineLevel="0" collapsed="false">
      <c r="A20" s="6" t="s">
        <v>89</v>
      </c>
      <c r="E20" s="16" t="n">
        <f aca="false">AVERAGEIFS(N5:N9,O5:O9,"&gt;=0")</f>
        <v>0.0375</v>
      </c>
    </row>
    <row r="22" customFormat="false" ht="15" hidden="false" customHeight="false" outlineLevel="0" collapsed="false">
      <c r="A22" s="2"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20"/>
    <col collapsed="false" customWidth="true" hidden="false" outlineLevel="0" max="3" min="3" style="0" width="24"/>
    <col collapsed="false" customWidth="true" hidden="false" outlineLevel="0" max="4" min="4" style="0" width="60"/>
  </cols>
  <sheetData>
    <row r="1" customFormat="false" ht="17.35" hidden="false" customHeight="false" outlineLevel="0" collapsed="false">
      <c r="A1" s="1" t="s">
        <v>95</v>
      </c>
    </row>
    <row r="2" customFormat="false" ht="15" hidden="false" customHeight="false" outlineLevel="0" collapsed="false">
      <c r="A2" s="2" t="s">
        <v>96</v>
      </c>
    </row>
    <row r="4" customFormat="false" ht="15" hidden="false" customHeight="false" outlineLevel="0" collapsed="false">
      <c r="A4" s="9" t="s">
        <v>97</v>
      </c>
      <c r="B4" s="9" t="s">
        <v>98</v>
      </c>
      <c r="C4" s="9" t="s">
        <v>99</v>
      </c>
      <c r="D4" s="9" t="s">
        <v>39</v>
      </c>
    </row>
    <row r="5" customFormat="false" ht="15" hidden="false" customHeight="false" outlineLevel="0" collapsed="false">
      <c r="A5" s="6" t="s">
        <v>100</v>
      </c>
      <c r="B5" s="5" t="s">
        <v>101</v>
      </c>
      <c r="C5" s="5" t="s">
        <v>102</v>
      </c>
      <c r="D5" s="2" t="s">
        <v>103</v>
      </c>
    </row>
    <row r="6" customFormat="false" ht="15" hidden="false" customHeight="false" outlineLevel="0" collapsed="false">
      <c r="A6" s="6" t="s">
        <v>64</v>
      </c>
      <c r="B6" s="13" t="n">
        <v>0.04</v>
      </c>
      <c r="C6" s="13" t="n">
        <v>0.06</v>
      </c>
      <c r="D6" s="2" t="s">
        <v>104</v>
      </c>
    </row>
    <row r="7" customFormat="false" ht="15" hidden="false" customHeight="false" outlineLevel="0" collapsed="false">
      <c r="A7" s="6" t="s">
        <v>65</v>
      </c>
      <c r="B7" s="13" t="n">
        <v>0.06</v>
      </c>
      <c r="C7" s="13" t="n">
        <v>0.08</v>
      </c>
      <c r="D7" s="2"/>
    </row>
    <row r="8" customFormat="false" ht="15" hidden="false" customHeight="false" outlineLevel="0" collapsed="false">
      <c r="A8" s="6" t="s">
        <v>66</v>
      </c>
      <c r="B8" s="12" t="n">
        <f aca="false">(B6+B7)/2</f>
        <v>0.05</v>
      </c>
      <c r="C8" s="12" t="n">
        <f aca="false">(C6+C7)/2</f>
        <v>0.07</v>
      </c>
    </row>
    <row r="9" customFormat="false" ht="15" hidden="false" customHeight="false" outlineLevel="0" collapsed="false">
      <c r="A9" s="6" t="s">
        <v>105</v>
      </c>
      <c r="B9" s="14" t="n">
        <f aca="false">Backtest!E16</f>
        <v>0.022</v>
      </c>
      <c r="C9" s="12" t="n">
        <f aca="false">B9</f>
        <v>0.022</v>
      </c>
      <c r="D9" s="2" t="s">
        <v>106</v>
      </c>
    </row>
    <row r="10" customFormat="false" ht="15" hidden="false" customHeight="false" outlineLevel="0" collapsed="false">
      <c r="A10" s="6" t="s">
        <v>107</v>
      </c>
      <c r="B10" s="17" t="n">
        <f aca="false">B8+B9</f>
        <v>0.072</v>
      </c>
      <c r="C10" s="17" t="n">
        <f aca="false">C8+C9</f>
        <v>0.092</v>
      </c>
    </row>
    <row r="11" customFormat="false" ht="15" hidden="false" customHeight="false" outlineLevel="0" collapsed="false">
      <c r="A11" s="6" t="s">
        <v>108</v>
      </c>
      <c r="B11" s="14" t="n">
        <f aca="false">Data!I23</f>
        <v>0.1</v>
      </c>
      <c r="C11" s="14" t="n">
        <f aca="false">Data!I24</f>
        <v>0.13</v>
      </c>
    </row>
    <row r="13" customFormat="false" ht="15" hidden="false" customHeight="false" outlineLevel="0" collapsed="false">
      <c r="A13" s="3" t="s">
        <v>109</v>
      </c>
    </row>
    <row r="14" customFormat="false" ht="15" hidden="false" customHeight="false" outlineLevel="0" collapsed="false">
      <c r="A14" s="6" t="s">
        <v>110</v>
      </c>
      <c r="B14" s="18" t="n">
        <f aca="false">Data!F5</f>
        <v>3697</v>
      </c>
    </row>
    <row r="15" customFormat="false" ht="15" hidden="false" customHeight="false" outlineLevel="0" collapsed="false">
      <c r="A15" s="6" t="s">
        <v>111</v>
      </c>
      <c r="B15" s="14" t="n">
        <f aca="false">Data!K14-Data!K23</f>
        <v>-0.0264706730076379</v>
      </c>
      <c r="D15" s="2" t="s">
        <v>112</v>
      </c>
    </row>
    <row r="16" customFormat="false" ht="15" hidden="false" customHeight="false" outlineLevel="0" collapsed="false">
      <c r="A16" s="6" t="s">
        <v>113</v>
      </c>
      <c r="B16" s="19" t="n">
        <f aca="false">B14*(1+B10+B15)</f>
        <v>3865.32192189076</v>
      </c>
    </row>
    <row r="18" customFormat="false" ht="15" hidden="false" customHeight="false" outlineLevel="0" collapsed="false">
      <c r="A18" s="3" t="s">
        <v>114</v>
      </c>
    </row>
    <row r="19" customFormat="false" ht="15" hidden="false" customHeight="false" outlineLevel="0" collapsed="false">
      <c r="A19" s="6" t="s">
        <v>115</v>
      </c>
      <c r="B19" s="5" t="s">
        <v>116</v>
      </c>
    </row>
    <row r="20" customFormat="false" ht="15" hidden="false" customHeight="false" outlineLevel="0" collapsed="false">
      <c r="A20" s="6" t="s">
        <v>64</v>
      </c>
      <c r="B20" s="13" t="n">
        <v>0.14</v>
      </c>
    </row>
    <row r="21" customFormat="false" ht="15" hidden="false" customHeight="false" outlineLevel="0" collapsed="false">
      <c r="A21" s="6" t="s">
        <v>65</v>
      </c>
      <c r="B21" s="13" t="n">
        <v>0.16</v>
      </c>
    </row>
    <row r="22" customFormat="false" ht="15" hidden="false" customHeight="false" outlineLevel="0" collapsed="false">
      <c r="A22" s="6" t="s">
        <v>66</v>
      </c>
      <c r="B22" s="12" t="n">
        <f aca="false">(B20+B21)/2</f>
        <v>0.15</v>
      </c>
    </row>
    <row r="23" customFormat="false" ht="15" hidden="false" customHeight="false" outlineLevel="0" collapsed="false">
      <c r="A23" s="6" t="s">
        <v>117</v>
      </c>
      <c r="B23" s="18" t="n">
        <f aca="false">Data!F6</f>
        <v>2204</v>
      </c>
    </row>
    <row r="24" customFormat="false" ht="15" hidden="false" customHeight="false" outlineLevel="0" collapsed="false">
      <c r="A24" s="6" t="s">
        <v>113</v>
      </c>
      <c r="B24" s="19" t="n">
        <f aca="false">B23*(1+B22)</f>
        <v>2534.6</v>
      </c>
      <c r="D24" s="2" t="s">
        <v>118</v>
      </c>
    </row>
    <row r="26" customFormat="false" ht="15" hidden="false" customHeight="false" outlineLevel="0" collapsed="false">
      <c r="A26" s="3" t="s">
        <v>119</v>
      </c>
    </row>
    <row r="27" customFormat="false" ht="15" hidden="false" customHeight="false" outlineLevel="0" collapsed="false">
      <c r="A27" s="6" t="s">
        <v>120</v>
      </c>
      <c r="B27" s="10" t="n">
        <v>14700</v>
      </c>
    </row>
    <row r="28" customFormat="false" ht="15" hidden="false" customHeight="false" outlineLevel="0" collapsed="false">
      <c r="A28" s="6" t="s">
        <v>121</v>
      </c>
      <c r="B28" s="10" t="n">
        <v>15200</v>
      </c>
    </row>
    <row r="29" customFormat="false" ht="15" hidden="false" customHeight="false" outlineLevel="0" collapsed="false">
      <c r="A29" s="6" t="s">
        <v>122</v>
      </c>
      <c r="B29" s="18" t="n">
        <f aca="false">Data!F9</f>
        <v>16001</v>
      </c>
    </row>
    <row r="30" customFormat="false" ht="15" hidden="false" customHeight="false" outlineLevel="0" collapsed="false">
      <c r="A30" s="6" t="s">
        <v>123</v>
      </c>
      <c r="B30" s="16" t="n">
        <f aca="false">((B27+B28)/2)/B29-1</f>
        <v>-0.0656833947878258</v>
      </c>
      <c r="D30" s="2" t="s">
        <v>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5" min="4" style="0" width="18"/>
    <col collapsed="false" customWidth="true" hidden="false" outlineLevel="0" max="6" min="6" style="0" width="12"/>
  </cols>
  <sheetData>
    <row r="1" customFormat="false" ht="17.35" hidden="false" customHeight="false" outlineLevel="0" collapsed="false">
      <c r="A1" s="1" t="s">
        <v>125</v>
      </c>
    </row>
    <row r="2" customFormat="false" ht="15" hidden="false" customHeight="false" outlineLevel="0" collapsed="false">
      <c r="A2" s="2" t="s">
        <v>126</v>
      </c>
    </row>
    <row r="4" customFormat="false" ht="15" hidden="false" customHeight="false" outlineLevel="0" collapsed="false">
      <c r="A4" s="3" t="s">
        <v>127</v>
      </c>
    </row>
    <row r="5" customFormat="false" ht="15" hidden="false" customHeight="false" outlineLevel="0" collapsed="false">
      <c r="A5" s="6" t="s">
        <v>128</v>
      </c>
      <c r="B5" s="18" t="n">
        <f aca="false">Data!K6</f>
        <v>9175</v>
      </c>
      <c r="D5" s="2" t="s">
        <v>129</v>
      </c>
    </row>
    <row r="6" customFormat="false" ht="15" hidden="false" customHeight="false" outlineLevel="0" collapsed="false">
      <c r="A6" s="6" t="s">
        <v>130</v>
      </c>
      <c r="B6" s="13" t="n">
        <v>0.9</v>
      </c>
      <c r="D6" s="2" t="s">
        <v>131</v>
      </c>
    </row>
    <row r="7" customFormat="false" ht="15" hidden="false" customHeight="false" outlineLevel="0" collapsed="false">
      <c r="A7" s="6" t="s">
        <v>132</v>
      </c>
      <c r="B7" s="20" t="n">
        <v>95</v>
      </c>
      <c r="D7" s="2" t="s">
        <v>133</v>
      </c>
    </row>
    <row r="8" customFormat="false" ht="15" hidden="false" customHeight="false" outlineLevel="0" collapsed="false">
      <c r="A8" s="6" t="s">
        <v>134</v>
      </c>
      <c r="B8" s="21" t="n">
        <f aca="false">B5*B6/B7</f>
        <v>86.921052631579</v>
      </c>
      <c r="D8" s="2" t="s">
        <v>135</v>
      </c>
    </row>
    <row r="9" customFormat="false" ht="15" hidden="false" customHeight="false" outlineLevel="0" collapsed="false">
      <c r="A9" s="6" t="s">
        <v>136</v>
      </c>
      <c r="B9" s="13" t="n">
        <v>0.04</v>
      </c>
      <c r="D9" s="2" t="s">
        <v>137</v>
      </c>
    </row>
    <row r="10" customFormat="false" ht="15" hidden="false" customHeight="false" outlineLevel="0" collapsed="false">
      <c r="A10" s="6" t="s">
        <v>138</v>
      </c>
      <c r="B10" s="22" t="n">
        <v>300</v>
      </c>
      <c r="D10" s="2" t="s">
        <v>139</v>
      </c>
    </row>
    <row r="11" customFormat="false" ht="15" hidden="false" customHeight="false" outlineLevel="0" collapsed="false">
      <c r="A11" s="6" t="s">
        <v>140</v>
      </c>
      <c r="B11" s="13" t="n">
        <v>0.1</v>
      </c>
      <c r="D11" s="2" t="s">
        <v>137</v>
      </c>
    </row>
    <row r="12" customFormat="false" ht="15" hidden="false" customHeight="false" outlineLevel="0" collapsed="false">
      <c r="A12" s="6" t="s">
        <v>141</v>
      </c>
      <c r="B12" s="13" t="n">
        <v>0.09</v>
      </c>
      <c r="D12" s="2" t="s">
        <v>137</v>
      </c>
    </row>
    <row r="13" customFormat="false" ht="15" hidden="false" customHeight="false" outlineLevel="0" collapsed="false">
      <c r="A13" s="6" t="s">
        <v>142</v>
      </c>
      <c r="B13" s="21" t="n">
        <v>1000</v>
      </c>
      <c r="D13" s="2" t="s">
        <v>143</v>
      </c>
    </row>
    <row r="14" customFormat="false" ht="15" hidden="false" customHeight="false" outlineLevel="0" collapsed="false">
      <c r="A14" s="6" t="s">
        <v>144</v>
      </c>
      <c r="B14" s="20" t="n">
        <f aca="false">Data!K5/B13</f>
        <v>15.176</v>
      </c>
      <c r="D14" s="2" t="s">
        <v>145</v>
      </c>
    </row>
    <row r="16" customFormat="false" ht="15" hidden="false" customHeight="false" outlineLevel="0" collapsed="false">
      <c r="A16" s="3" t="s">
        <v>146</v>
      </c>
    </row>
    <row r="17" customFormat="false" ht="15" hidden="false" customHeight="false" outlineLevel="0" collapsed="false">
      <c r="A17" s="6" t="s">
        <v>147</v>
      </c>
      <c r="B17" s="20" t="n">
        <v>199.99</v>
      </c>
      <c r="D17" s="2" t="s">
        <v>148</v>
      </c>
    </row>
    <row r="18" customFormat="false" ht="15" hidden="false" customHeight="false" outlineLevel="0" collapsed="false">
      <c r="A18" s="6" t="s">
        <v>149</v>
      </c>
      <c r="B18" s="20" t="n">
        <v>129.99</v>
      </c>
      <c r="D18" s="2" t="s">
        <v>148</v>
      </c>
    </row>
    <row r="19" customFormat="false" ht="15" hidden="false" customHeight="false" outlineLevel="0" collapsed="false">
      <c r="A19" s="6" t="s">
        <v>150</v>
      </c>
      <c r="B19" s="23" t="n">
        <f aca="false">B17-B18</f>
        <v>70</v>
      </c>
    </row>
    <row r="20" customFormat="false" ht="15" hidden="false" customHeight="false" outlineLevel="0" collapsed="false">
      <c r="A20" s="6" t="s">
        <v>151</v>
      </c>
      <c r="B20" s="13" t="n">
        <v>0.85</v>
      </c>
      <c r="D20" s="2" t="s">
        <v>152</v>
      </c>
    </row>
    <row r="21" customFormat="false" ht="15" hidden="false" customHeight="false" outlineLevel="0" collapsed="false">
      <c r="A21" s="6" t="s">
        <v>153</v>
      </c>
      <c r="B21" s="24" t="n">
        <v>0.04</v>
      </c>
      <c r="D21" s="2" t="s">
        <v>137</v>
      </c>
    </row>
    <row r="22" customFormat="false" ht="15" hidden="false" customHeight="false" outlineLevel="0" collapsed="false">
      <c r="A22" s="6" t="s">
        <v>154</v>
      </c>
      <c r="B22" s="20" t="n">
        <v>18</v>
      </c>
      <c r="D22" s="2" t="s">
        <v>155</v>
      </c>
    </row>
    <row r="23" customFormat="false" ht="15" hidden="false" customHeight="false" outlineLevel="0" collapsed="false">
      <c r="A23" s="6" t="s">
        <v>156</v>
      </c>
      <c r="C23" s="24" t="n">
        <v>0.06</v>
      </c>
      <c r="D23" s="24" t="n">
        <v>0.08</v>
      </c>
      <c r="E23" s="24" t="n">
        <v>0.1</v>
      </c>
    </row>
    <row r="25" customFormat="false" ht="15" hidden="false" customHeight="false" outlineLevel="0" collapsed="false">
      <c r="A25" s="3" t="s">
        <v>157</v>
      </c>
    </row>
    <row r="26" customFormat="false" ht="15" hidden="false" customHeight="false" outlineLevel="0" collapsed="false">
      <c r="A26" s="6" t="s">
        <v>158</v>
      </c>
      <c r="B26" s="20" t="n">
        <v>7.99</v>
      </c>
      <c r="D26" s="2" t="s">
        <v>159</v>
      </c>
    </row>
    <row r="27" customFormat="false" ht="15" hidden="false" customHeight="false" outlineLevel="0" collapsed="false">
      <c r="A27" s="6" t="s">
        <v>160</v>
      </c>
      <c r="B27" s="23" t="n">
        <f aca="false">B26*12</f>
        <v>95.88</v>
      </c>
    </row>
    <row r="28" customFormat="false" ht="15" hidden="false" customHeight="false" outlineLevel="0" collapsed="false">
      <c r="A28" s="6" t="s">
        <v>161</v>
      </c>
      <c r="B28" s="20" t="n">
        <v>30</v>
      </c>
      <c r="D28" s="2" t="s">
        <v>137</v>
      </c>
    </row>
    <row r="29" customFormat="false" ht="15" hidden="false" customHeight="false" outlineLevel="0" collapsed="false">
      <c r="A29" s="6" t="s">
        <v>162</v>
      </c>
      <c r="B29" s="20" t="n">
        <v>20</v>
      </c>
      <c r="D29" s="2" t="s">
        <v>137</v>
      </c>
    </row>
    <row r="30" customFormat="false" ht="15" hidden="false" customHeight="false" outlineLevel="0" collapsed="false">
      <c r="A30" s="6" t="s">
        <v>163</v>
      </c>
      <c r="B30" s="13" t="n">
        <v>0.2</v>
      </c>
      <c r="D30" s="2" t="s">
        <v>137</v>
      </c>
    </row>
    <row r="31" customFormat="false" ht="15" hidden="false" customHeight="false" outlineLevel="0" collapsed="false">
      <c r="A31" s="6" t="s">
        <v>164</v>
      </c>
      <c r="B31" s="20" t="n">
        <v>99.99</v>
      </c>
      <c r="D31" s="2" t="s">
        <v>148</v>
      </c>
    </row>
    <row r="32" customFormat="false" ht="15" hidden="false" customHeight="false" outlineLevel="0" collapsed="false">
      <c r="A32" s="6" t="s">
        <v>165</v>
      </c>
      <c r="B32" s="23" t="n">
        <f aca="false">MAX(B31-B27,0)</f>
        <v>4.11</v>
      </c>
    </row>
    <row r="33" customFormat="false" ht="15" hidden="false" customHeight="false" outlineLevel="0" collapsed="false">
      <c r="A33" s="6" t="s">
        <v>166</v>
      </c>
      <c r="C33" s="24" t="n">
        <v>0.005</v>
      </c>
      <c r="D33" s="24" t="n">
        <v>0.01</v>
      </c>
      <c r="E33" s="24" t="n">
        <v>0.015</v>
      </c>
    </row>
    <row r="35" customFormat="false" ht="15" hidden="false" customHeight="false" outlineLevel="0" collapsed="false">
      <c r="A35" s="3" t="s">
        <v>167</v>
      </c>
    </row>
    <row r="36" customFormat="false" ht="15" hidden="false" customHeight="false" outlineLevel="0" collapsed="false">
      <c r="A36" s="6" t="s">
        <v>168</v>
      </c>
      <c r="B36" s="13" t="n">
        <v>0.6</v>
      </c>
      <c r="D36" s="2" t="s">
        <v>137</v>
      </c>
    </row>
    <row r="37" customFormat="false" ht="15" hidden="false" customHeight="false" outlineLevel="0" collapsed="false">
      <c r="A37" s="6" t="s">
        <v>169</v>
      </c>
      <c r="B37" s="24" t="n">
        <v>0.3</v>
      </c>
      <c r="D37" s="2" t="s">
        <v>170</v>
      </c>
    </row>
    <row r="38" customFormat="false" ht="15" hidden="false" customHeight="false" outlineLevel="0" collapsed="false">
      <c r="A38" s="6" t="s">
        <v>171</v>
      </c>
      <c r="B38" s="13" t="n">
        <v>0.15</v>
      </c>
      <c r="D38" s="2" t="s">
        <v>137</v>
      </c>
    </row>
    <row r="39" customFormat="false" ht="15" hidden="false" customHeight="false" outlineLevel="0" collapsed="false">
      <c r="A39" s="6" t="s">
        <v>172</v>
      </c>
      <c r="C39" s="25" t="n">
        <v>1</v>
      </c>
      <c r="D39" s="25" t="n">
        <v>2</v>
      </c>
      <c r="E39" s="25" t="n">
        <v>3</v>
      </c>
    </row>
    <row r="40" customFormat="false" ht="15" hidden="false" customHeight="false" outlineLevel="0" collapsed="false">
      <c r="A40" s="6" t="s">
        <v>173</v>
      </c>
      <c r="B40" s="12" t="n">
        <f aca="false">E39/B14</f>
        <v>0.197680548234054</v>
      </c>
      <c r="D40" s="2" t="s">
        <v>174</v>
      </c>
    </row>
    <row r="42" customFormat="false" ht="31.5" hidden="false" customHeight="true" outlineLevel="0" collapsed="false">
      <c r="A42" s="9"/>
      <c r="B42" s="9"/>
      <c r="C42" s="9" t="s">
        <v>175</v>
      </c>
      <c r="D42" s="9" t="s">
        <v>176</v>
      </c>
      <c r="E42" s="9" t="s">
        <v>177</v>
      </c>
    </row>
    <row r="43" customFormat="false" ht="15" hidden="false" customHeight="false" outlineLevel="0" collapsed="false">
      <c r="A43" s="6" t="s">
        <v>178</v>
      </c>
      <c r="C43" s="5" t="n">
        <v>1</v>
      </c>
      <c r="D43" s="5" t="n">
        <v>2</v>
      </c>
      <c r="E43" s="5" t="n">
        <v>3</v>
      </c>
    </row>
    <row r="44" customFormat="false" ht="15" hidden="false" customHeight="false" outlineLevel="0" collapsed="false">
      <c r="A44" s="6" t="s">
        <v>179</v>
      </c>
      <c r="C44" s="26" t="n">
        <f aca="false">$B$8*(1+$B$9)^C43</f>
        <v>90.3978947368421</v>
      </c>
      <c r="D44" s="26" t="n">
        <f aca="false">$B$8*(1+$B$9)^D43</f>
        <v>94.0138105263158</v>
      </c>
      <c r="E44" s="26" t="n">
        <f aca="false">$B$8*(1+$B$9)^E43</f>
        <v>97.7743629473684</v>
      </c>
    </row>
    <row r="45" customFormat="false" ht="15" hidden="false" customHeight="false" outlineLevel="0" collapsed="false">
      <c r="A45" s="6" t="s">
        <v>180</v>
      </c>
      <c r="C45" s="26" t="n">
        <f aca="false">$B$10*(1+$B$11)^C43</f>
        <v>330</v>
      </c>
      <c r="D45" s="26" t="n">
        <f aca="false">$B$10*(1+$B$11)^D43</f>
        <v>363</v>
      </c>
      <c r="E45" s="26" t="n">
        <f aca="false">$B$10*(1+$B$11)^E43</f>
        <v>399.3</v>
      </c>
    </row>
    <row r="47" customFormat="false" ht="15" hidden="false" customHeight="false" outlineLevel="0" collapsed="false">
      <c r="A47" s="3" t="s">
        <v>181</v>
      </c>
      <c r="C47" s="26" t="n">
        <f aca="false">C44*(C23-$B$21)</f>
        <v>1.80795789473684</v>
      </c>
      <c r="D47" s="26" t="n">
        <f aca="false">D44*(D23-$B$21)</f>
        <v>3.76055242105263</v>
      </c>
      <c r="E47" s="26" t="n">
        <f aca="false">E44*(E23-$B$21)</f>
        <v>5.86646177684211</v>
      </c>
    </row>
    <row r="48" customFormat="false" ht="15" hidden="false" customHeight="false" outlineLevel="0" collapsed="false">
      <c r="A48" s="6" t="s">
        <v>182</v>
      </c>
      <c r="C48" s="11" t="n">
        <f aca="false">C47*$B$19*$B$20</f>
        <v>107.573494736842</v>
      </c>
      <c r="D48" s="11" t="n">
        <f aca="false">D47*$B$19*$B$20</f>
        <v>223.752869052632</v>
      </c>
      <c r="E48" s="11" t="n">
        <f aca="false">E47*$B$19*$B$20</f>
        <v>349.054475722105</v>
      </c>
    </row>
    <row r="49" customFormat="false" ht="15" hidden="false" customHeight="false" outlineLevel="0" collapsed="false">
      <c r="A49" s="6" t="s">
        <v>183</v>
      </c>
      <c r="C49" s="11" t="n">
        <f aca="false">C47*$B$22</f>
        <v>32.5432421052632</v>
      </c>
      <c r="D49" s="11" t="n">
        <f aca="false">D47*$B$22</f>
        <v>67.6899435789474</v>
      </c>
      <c r="E49" s="11" t="n">
        <f aca="false">E47*$B$22</f>
        <v>105.596311983158</v>
      </c>
    </row>
    <row r="50" customFormat="false" ht="15" hidden="false" customHeight="false" outlineLevel="0" collapsed="false">
      <c r="A50" s="6" t="s">
        <v>184</v>
      </c>
      <c r="C50" s="27" t="n">
        <f aca="false">C48-C49</f>
        <v>75.0302526315789</v>
      </c>
      <c r="D50" s="27" t="n">
        <f aca="false">D48-D49</f>
        <v>156.062925473684</v>
      </c>
      <c r="E50" s="27" t="n">
        <f aca="false">E48-E49</f>
        <v>243.458163738947</v>
      </c>
    </row>
    <row r="52" customFormat="false" ht="15" hidden="false" customHeight="false" outlineLevel="0" collapsed="false">
      <c r="A52" s="3" t="s">
        <v>185</v>
      </c>
      <c r="C52" s="26" t="n">
        <f aca="false">C45*C33</f>
        <v>1.65</v>
      </c>
      <c r="D52" s="26" t="n">
        <f aca="false">D45*D33</f>
        <v>3.63</v>
      </c>
      <c r="E52" s="26" t="n">
        <f aca="false">E45*E33</f>
        <v>5.9895</v>
      </c>
    </row>
    <row r="53" customFormat="false" ht="15" hidden="false" customHeight="false" outlineLevel="0" collapsed="false">
      <c r="A53" s="6" t="s">
        <v>186</v>
      </c>
      <c r="C53" s="26" t="n">
        <f aca="false">C52</f>
        <v>1.65</v>
      </c>
      <c r="D53" s="26" t="n">
        <f aca="false">MAX(D52-C52,0)</f>
        <v>1.98</v>
      </c>
      <c r="E53" s="26" t="n">
        <f aca="false">MAX(E52-D52,0)</f>
        <v>2.3595</v>
      </c>
    </row>
    <row r="54" customFormat="false" ht="15" hidden="false" customHeight="false" outlineLevel="0" collapsed="false">
      <c r="A54" s="6" t="s">
        <v>187</v>
      </c>
      <c r="C54" s="11" t="n">
        <f aca="false">C52*($B$27-$B$30*$B$32)</f>
        <v>156.8457</v>
      </c>
      <c r="D54" s="11" t="n">
        <f aca="false">D52*($B$27-$B$30*$B$32)</f>
        <v>345.06054</v>
      </c>
      <c r="E54" s="11" t="n">
        <f aca="false">E52*($B$27-$B$30*$B$32)</f>
        <v>569.349891</v>
      </c>
    </row>
    <row r="55" customFormat="false" ht="15" hidden="false" customHeight="false" outlineLevel="0" collapsed="false">
      <c r="A55" s="6" t="s">
        <v>183</v>
      </c>
      <c r="C55" s="11" t="n">
        <f aca="false">C52*$B$28+C53*$B$29</f>
        <v>82.5</v>
      </c>
      <c r="D55" s="11" t="n">
        <f aca="false">D52*$B$28+D53*$B$29</f>
        <v>148.5</v>
      </c>
      <c r="E55" s="11" t="n">
        <f aca="false">E52*$B$28+E53*$B$29</f>
        <v>226.875</v>
      </c>
    </row>
    <row r="56" customFormat="false" ht="15" hidden="false" customHeight="false" outlineLevel="0" collapsed="false">
      <c r="A56" s="6" t="s">
        <v>184</v>
      </c>
      <c r="C56" s="27" t="n">
        <f aca="false">C54-C55</f>
        <v>74.3457</v>
      </c>
      <c r="D56" s="27" t="n">
        <f aca="false">D54-D55</f>
        <v>196.56054</v>
      </c>
      <c r="E56" s="27" t="n">
        <f aca="false">E54-E55</f>
        <v>342.474891</v>
      </c>
    </row>
    <row r="58" customFormat="false" ht="15" hidden="false" customHeight="false" outlineLevel="0" collapsed="false">
      <c r="A58" s="3" t="s">
        <v>188</v>
      </c>
      <c r="C58" s="26" t="n">
        <f aca="false">C45*$B$36</f>
        <v>198</v>
      </c>
      <c r="D58" s="26" t="n">
        <f aca="false">D45*$B$36</f>
        <v>217.8</v>
      </c>
      <c r="E58" s="26" t="n">
        <f aca="false">E45*$B$36</f>
        <v>239.58</v>
      </c>
    </row>
    <row r="59" customFormat="false" ht="15" hidden="false" customHeight="false" outlineLevel="0" collapsed="false">
      <c r="A59" s="6" t="s">
        <v>189</v>
      </c>
      <c r="C59" s="11" t="n">
        <f aca="false">C58*C39</f>
        <v>198</v>
      </c>
      <c r="D59" s="11" t="n">
        <f aca="false">D58*D39</f>
        <v>435.6</v>
      </c>
      <c r="E59" s="11" t="n">
        <f aca="false">E58*E39</f>
        <v>718.74</v>
      </c>
    </row>
    <row r="60" customFormat="false" ht="15" hidden="false" customHeight="false" outlineLevel="0" collapsed="false">
      <c r="A60" s="6" t="s">
        <v>190</v>
      </c>
      <c r="C60" s="11" t="n">
        <f aca="false">-C59*$B$37</f>
        <v>-59.4</v>
      </c>
      <c r="D60" s="11" t="n">
        <f aca="false">-D59*$B$37</f>
        <v>-130.68</v>
      </c>
      <c r="E60" s="11" t="n">
        <f aca="false">-E59*$B$37</f>
        <v>-215.622</v>
      </c>
    </row>
    <row r="61" customFormat="false" ht="15" hidden="false" customHeight="false" outlineLevel="0" collapsed="false">
      <c r="A61" s="6" t="s">
        <v>191</v>
      </c>
      <c r="C61" s="11" t="n">
        <f aca="false">C59+C60</f>
        <v>138.6</v>
      </c>
      <c r="D61" s="11" t="n">
        <f aca="false">D59+D60</f>
        <v>304.92</v>
      </c>
      <c r="E61" s="11" t="n">
        <f aca="false">E59+E60</f>
        <v>503.118</v>
      </c>
    </row>
    <row r="62" customFormat="false" ht="15" hidden="false" customHeight="false" outlineLevel="0" collapsed="false">
      <c r="A62" s="6" t="s">
        <v>183</v>
      </c>
      <c r="C62" s="11" t="n">
        <f aca="false">C61*$B$38</f>
        <v>20.79</v>
      </c>
      <c r="D62" s="11" t="n">
        <f aca="false">D61*$B$38</f>
        <v>45.738</v>
      </c>
      <c r="E62" s="11" t="n">
        <f aca="false">E61*$B$38</f>
        <v>75.4677</v>
      </c>
    </row>
    <row r="63" customFormat="false" ht="15" hidden="false" customHeight="false" outlineLevel="0" collapsed="false">
      <c r="A63" s="6" t="s">
        <v>184</v>
      </c>
      <c r="C63" s="27" t="n">
        <f aca="false">C61-C62</f>
        <v>117.81</v>
      </c>
      <c r="D63" s="27" t="n">
        <f aca="false">D61-D62</f>
        <v>259.182</v>
      </c>
      <c r="E63" s="27" t="n">
        <f aca="false">E61-E62</f>
        <v>427.6503</v>
      </c>
    </row>
    <row r="66" customFormat="false" ht="26.85" hidden="false" customHeight="false" outlineLevel="0" collapsed="false">
      <c r="A66" s="9" t="s">
        <v>86</v>
      </c>
      <c r="B66" s="9" t="s">
        <v>192</v>
      </c>
      <c r="C66" s="9" t="s">
        <v>193</v>
      </c>
      <c r="D66" s="9" t="s">
        <v>194</v>
      </c>
      <c r="E66" s="9" t="s">
        <v>195</v>
      </c>
      <c r="F66" s="9" t="s">
        <v>196</v>
      </c>
    </row>
    <row r="67" customFormat="false" ht="15" hidden="false" customHeight="false" outlineLevel="0" collapsed="false">
      <c r="A67" s="3" t="s">
        <v>197</v>
      </c>
      <c r="B67" s="11" t="n">
        <f aca="false">E48</f>
        <v>349.054475722105</v>
      </c>
      <c r="C67" s="11" t="n">
        <f aca="false">E50</f>
        <v>243.458163738947</v>
      </c>
      <c r="D67" s="11" t="n">
        <f aca="false">SUM(C50:E50)</f>
        <v>474.551341844211</v>
      </c>
      <c r="E67" s="27" t="n">
        <f aca="false">NPV($B$12,C50:E50)</f>
        <v>388.184508344479</v>
      </c>
      <c r="F67" s="6" t="n">
        <f aca="false">RANK(E67,$E$67:$E$69)</f>
        <v>3</v>
      </c>
    </row>
    <row r="68" customFormat="false" ht="15" hidden="false" customHeight="false" outlineLevel="0" collapsed="false">
      <c r="A68" s="3" t="s">
        <v>198</v>
      </c>
      <c r="B68" s="11" t="n">
        <f aca="false">E54</f>
        <v>569.349891</v>
      </c>
      <c r="C68" s="11" t="n">
        <f aca="false">E56</f>
        <v>342.474891</v>
      </c>
      <c r="D68" s="11" t="n">
        <f aca="false">SUM(C56:E56)</f>
        <v>613.381131</v>
      </c>
      <c r="E68" s="27" t="n">
        <f aca="false">NPV($B$12,C56:E56)</f>
        <v>498.101591369768</v>
      </c>
      <c r="F68" s="6" t="n">
        <f aca="false">RANK(E68,$E$67:$E$69)</f>
        <v>2</v>
      </c>
    </row>
    <row r="69" customFormat="false" ht="15" hidden="false" customHeight="false" outlineLevel="0" collapsed="false">
      <c r="A69" s="3" t="s">
        <v>199</v>
      </c>
      <c r="B69" s="11" t="n">
        <f aca="false">E61</f>
        <v>503.118</v>
      </c>
      <c r="C69" s="11" t="n">
        <f aca="false">E63</f>
        <v>427.6503</v>
      </c>
      <c r="D69" s="11" t="n">
        <f aca="false">SUM(C63:E63)</f>
        <v>804.6423</v>
      </c>
      <c r="E69" s="27" t="n">
        <f aca="false">NPV($B$12,C63:E63)</f>
        <v>656.455369725311</v>
      </c>
      <c r="F69" s="6" t="n">
        <f aca="false">RANK(E69,$E$67:$E$69)</f>
        <v>1</v>
      </c>
    </row>
    <row r="71" customFormat="false" ht="15" hidden="false" customHeight="false" outlineLevel="0" collapsed="false">
      <c r="A71" s="2" t="s">
        <v>200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6" min="2" style="0" width="14"/>
  </cols>
  <sheetData>
    <row r="1" customFormat="false" ht="17.35" hidden="false" customHeight="false" outlineLevel="0" collapsed="false">
      <c r="A1" s="1" t="s">
        <v>201</v>
      </c>
    </row>
    <row r="2" customFormat="false" ht="15" hidden="false" customHeight="false" outlineLevel="0" collapsed="false">
      <c r="A2" s="2" t="s">
        <v>202</v>
      </c>
    </row>
    <row r="4" customFormat="false" ht="15" hidden="false" customHeight="false" outlineLevel="0" collapsed="false">
      <c r="A4" s="6" t="s">
        <v>203</v>
      </c>
      <c r="B4" s="28" t="n">
        <f aca="false">'Business Case'!E67</f>
        <v>388.184508344479</v>
      </c>
    </row>
    <row r="6" customFormat="false" ht="15" hidden="false" customHeight="false" outlineLevel="0" collapsed="false">
      <c r="A6" s="3" t="s">
        <v>204</v>
      </c>
    </row>
    <row r="7" customFormat="false" ht="15" hidden="false" customHeight="false" outlineLevel="0" collapsed="false">
      <c r="A7" s="3" t="s">
        <v>205</v>
      </c>
      <c r="B7" s="29" t="n">
        <v>0.1</v>
      </c>
      <c r="C7" s="29" t="n">
        <v>0.2</v>
      </c>
      <c r="D7" s="29" t="n">
        <v>0.3</v>
      </c>
      <c r="E7" s="29" t="n">
        <v>0.4</v>
      </c>
      <c r="F7" s="29" t="n">
        <v>0.5</v>
      </c>
    </row>
    <row r="8" customFormat="false" ht="15" hidden="false" customHeight="false" outlineLevel="0" collapsed="false">
      <c r="A8" s="30" t="n">
        <v>1</v>
      </c>
      <c r="B8" s="11" t="n">
        <f aca="false">(('Business Case'!$C$58*$A8*'Business Case'!$C$39/'Business Case'!$E$39)/(1+'Business Case'!$B$12)^1+('Business Case'!$D$58*$A8*'Business Case'!$D$39/'Business Case'!$E$39)/(1+'Business Case'!$B$12)^2+('Business Case'!$E$58*$A8)/(1+'Business Case'!$B$12)^3)*(1-B$7)*(1-'Business Case'!$B$38)</f>
        <v>281.338015596562</v>
      </c>
      <c r="C8" s="11" t="n">
        <f aca="false">(('Business Case'!$C$58*$A8*'Business Case'!$C$39/'Business Case'!$E$39)/(1+'Business Case'!$B$12)^1+('Business Case'!$D$58*$A8*'Business Case'!$D$39/'Business Case'!$E$39)/(1+'Business Case'!$B$12)^2+('Business Case'!$E$58*$A8)/(1+'Business Case'!$B$12)^3)*(1-C$7)*(1-'Business Case'!$B$38)</f>
        <v>250.078236085833</v>
      </c>
      <c r="D8" s="11" t="n">
        <f aca="false">(('Business Case'!$C$58*$A8*'Business Case'!$C$39/'Business Case'!$E$39)/(1+'Business Case'!$B$12)^1+('Business Case'!$D$58*$A8*'Business Case'!$D$39/'Business Case'!$E$39)/(1+'Business Case'!$B$12)^2+('Business Case'!$E$58*$A8)/(1+'Business Case'!$B$12)^3)*(1-D$7)*(1-'Business Case'!$B$38)</f>
        <v>218.818456575104</v>
      </c>
      <c r="E8" s="11" t="n">
        <f aca="false">(('Business Case'!$C$58*$A8*'Business Case'!$C$39/'Business Case'!$E$39)/(1+'Business Case'!$B$12)^1+('Business Case'!$D$58*$A8*'Business Case'!$D$39/'Business Case'!$E$39)/(1+'Business Case'!$B$12)^2+('Business Case'!$E$58*$A8)/(1+'Business Case'!$B$12)^3)*(1-E$7)*(1-'Business Case'!$B$38)</f>
        <v>187.558677064375</v>
      </c>
      <c r="F8" s="11" t="n">
        <f aca="false">(('Business Case'!$C$58*$A8*'Business Case'!$C$39/'Business Case'!$E$39)/(1+'Business Case'!$B$12)^1+('Business Case'!$D$58*$A8*'Business Case'!$D$39/'Business Case'!$E$39)/(1+'Business Case'!$B$12)^2+('Business Case'!$E$58*$A8)/(1+'Business Case'!$B$12)^3)*(1-F$7)*(1-'Business Case'!$B$38)</f>
        <v>156.298897553646</v>
      </c>
    </row>
    <row r="9" customFormat="false" ht="15" hidden="false" customHeight="false" outlineLevel="0" collapsed="false">
      <c r="A9" s="30" t="n">
        <v>2</v>
      </c>
      <c r="B9" s="11" t="n">
        <f aca="false">(('Business Case'!$C$58*$A9*'Business Case'!$C$39/'Business Case'!$E$39)/(1+'Business Case'!$B$12)^1+('Business Case'!$D$58*$A9*'Business Case'!$D$39/'Business Case'!$E$39)/(1+'Business Case'!$B$12)^2+('Business Case'!$E$58*$A9)/(1+'Business Case'!$B$12)^3)*(1-B$7)*(1-'Business Case'!$B$38)</f>
        <v>562.676031193124</v>
      </c>
      <c r="C9" s="11" t="n">
        <f aca="false">(('Business Case'!$C$58*$A9*'Business Case'!$C$39/'Business Case'!$E$39)/(1+'Business Case'!$B$12)^1+('Business Case'!$D$58*$A9*'Business Case'!$D$39/'Business Case'!$E$39)/(1+'Business Case'!$B$12)^2+('Business Case'!$E$58*$A9)/(1+'Business Case'!$B$12)^3)*(1-C$7)*(1-'Business Case'!$B$38)</f>
        <v>500.156472171666</v>
      </c>
      <c r="D9" s="11" t="n">
        <f aca="false">(('Business Case'!$C$58*$A9*'Business Case'!$C$39/'Business Case'!$E$39)/(1+'Business Case'!$B$12)^1+('Business Case'!$D$58*$A9*'Business Case'!$D$39/'Business Case'!$E$39)/(1+'Business Case'!$B$12)^2+('Business Case'!$E$58*$A9)/(1+'Business Case'!$B$12)^3)*(1-D$7)*(1-'Business Case'!$B$38)</f>
        <v>437.636913150208</v>
      </c>
      <c r="E9" s="11" t="n">
        <f aca="false">(('Business Case'!$C$58*$A9*'Business Case'!$C$39/'Business Case'!$E$39)/(1+'Business Case'!$B$12)^1+('Business Case'!$D$58*$A9*'Business Case'!$D$39/'Business Case'!$E$39)/(1+'Business Case'!$B$12)^2+('Business Case'!$E$58*$A9)/(1+'Business Case'!$B$12)^3)*(1-E$7)*(1-'Business Case'!$B$38)</f>
        <v>375.117354128749</v>
      </c>
      <c r="F9" s="11" t="n">
        <f aca="false">(('Business Case'!$C$58*$A9*'Business Case'!$C$39/'Business Case'!$E$39)/(1+'Business Case'!$B$12)^1+('Business Case'!$D$58*$A9*'Business Case'!$D$39/'Business Case'!$E$39)/(1+'Business Case'!$B$12)^2+('Business Case'!$E$58*$A9)/(1+'Business Case'!$B$12)^3)*(1-F$7)*(1-'Business Case'!$B$38)</f>
        <v>312.597795107291</v>
      </c>
    </row>
    <row r="10" customFormat="false" ht="15" hidden="false" customHeight="false" outlineLevel="0" collapsed="false">
      <c r="A10" s="30" t="n">
        <v>3</v>
      </c>
      <c r="B10" s="11" t="n">
        <f aca="false">(('Business Case'!$C$58*$A10*'Business Case'!$C$39/'Business Case'!$E$39)/(1+'Business Case'!$B$12)^1+('Business Case'!$D$58*$A10*'Business Case'!$D$39/'Business Case'!$E$39)/(1+'Business Case'!$B$12)^2+('Business Case'!$E$58*$A10)/(1+'Business Case'!$B$12)^3)*(1-B$7)*(1-'Business Case'!$B$38)</f>
        <v>844.014046789686</v>
      </c>
      <c r="C10" s="11" t="n">
        <f aca="false">(('Business Case'!$C$58*$A10*'Business Case'!$C$39/'Business Case'!$E$39)/(1+'Business Case'!$B$12)^1+('Business Case'!$D$58*$A10*'Business Case'!$D$39/'Business Case'!$E$39)/(1+'Business Case'!$B$12)^2+('Business Case'!$E$58*$A10)/(1+'Business Case'!$B$12)^3)*(1-C$7)*(1-'Business Case'!$B$38)</f>
        <v>750.234708257499</v>
      </c>
      <c r="D10" s="11" t="n">
        <f aca="false">(('Business Case'!$C$58*$A10*'Business Case'!$C$39/'Business Case'!$E$39)/(1+'Business Case'!$B$12)^1+('Business Case'!$D$58*$A10*'Business Case'!$D$39/'Business Case'!$E$39)/(1+'Business Case'!$B$12)^2+('Business Case'!$E$58*$A10)/(1+'Business Case'!$B$12)^3)*(1-D$7)*(1-'Business Case'!$B$38)</f>
        <v>656.455369725311</v>
      </c>
      <c r="E10" s="11" t="n">
        <f aca="false">(('Business Case'!$C$58*$A10*'Business Case'!$C$39/'Business Case'!$E$39)/(1+'Business Case'!$B$12)^1+('Business Case'!$D$58*$A10*'Business Case'!$D$39/'Business Case'!$E$39)/(1+'Business Case'!$B$12)^2+('Business Case'!$E$58*$A10)/(1+'Business Case'!$B$12)^3)*(1-E$7)*(1-'Business Case'!$B$38)</f>
        <v>562.676031193124</v>
      </c>
      <c r="F10" s="11" t="n">
        <f aca="false">(('Business Case'!$C$58*$A10*'Business Case'!$C$39/'Business Case'!$E$39)/(1+'Business Case'!$B$12)^1+('Business Case'!$D$58*$A10*'Business Case'!$D$39/'Business Case'!$E$39)/(1+'Business Case'!$B$12)^2+('Business Case'!$E$58*$A10)/(1+'Business Case'!$B$12)^3)*(1-F$7)*(1-'Business Case'!$B$38)</f>
        <v>468.896692660937</v>
      </c>
    </row>
    <row r="11" customFormat="false" ht="15" hidden="false" customHeight="false" outlineLevel="0" collapsed="false">
      <c r="A11" s="30" t="n">
        <v>4</v>
      </c>
      <c r="B11" s="11" t="n">
        <f aca="false">(('Business Case'!$C$58*$A11*'Business Case'!$C$39/'Business Case'!$E$39)/(1+'Business Case'!$B$12)^1+('Business Case'!$D$58*$A11*'Business Case'!$D$39/'Business Case'!$E$39)/(1+'Business Case'!$B$12)^2+('Business Case'!$E$58*$A11)/(1+'Business Case'!$B$12)^3)*(1-B$7)*(1-'Business Case'!$B$38)</f>
        <v>1125.35206238625</v>
      </c>
      <c r="C11" s="11" t="n">
        <f aca="false">(('Business Case'!$C$58*$A11*'Business Case'!$C$39/'Business Case'!$E$39)/(1+'Business Case'!$B$12)^1+('Business Case'!$D$58*$A11*'Business Case'!$D$39/'Business Case'!$E$39)/(1+'Business Case'!$B$12)^2+('Business Case'!$E$58*$A11)/(1+'Business Case'!$B$12)^3)*(1-C$7)*(1-'Business Case'!$B$38)</f>
        <v>1000.31294434333</v>
      </c>
      <c r="D11" s="11" t="n">
        <f aca="false">(('Business Case'!$C$58*$A11*'Business Case'!$C$39/'Business Case'!$E$39)/(1+'Business Case'!$B$12)^1+('Business Case'!$D$58*$A11*'Business Case'!$D$39/'Business Case'!$E$39)/(1+'Business Case'!$B$12)^2+('Business Case'!$E$58*$A11)/(1+'Business Case'!$B$12)^3)*(1-D$7)*(1-'Business Case'!$B$38)</f>
        <v>875.273826300415</v>
      </c>
      <c r="E11" s="11" t="n">
        <f aca="false">(('Business Case'!$C$58*$A11*'Business Case'!$C$39/'Business Case'!$E$39)/(1+'Business Case'!$B$12)^1+('Business Case'!$D$58*$A11*'Business Case'!$D$39/'Business Case'!$E$39)/(1+'Business Case'!$B$12)^2+('Business Case'!$E$58*$A11)/(1+'Business Case'!$B$12)^3)*(1-E$7)*(1-'Business Case'!$B$38)</f>
        <v>750.234708257499</v>
      </c>
      <c r="F11" s="11" t="n">
        <f aca="false">(('Business Case'!$C$58*$A11*'Business Case'!$C$39/'Business Case'!$E$39)/(1+'Business Case'!$B$12)^1+('Business Case'!$D$58*$A11*'Business Case'!$D$39/'Business Case'!$E$39)/(1+'Business Case'!$B$12)^2+('Business Case'!$E$58*$A11)/(1+'Business Case'!$B$12)^3)*(1-F$7)*(1-'Business Case'!$B$38)</f>
        <v>625.195590214582</v>
      </c>
    </row>
    <row r="12" customFormat="false" ht="15" hidden="false" customHeight="false" outlineLevel="0" collapsed="false">
      <c r="A12" s="30" t="n">
        <v>5</v>
      </c>
      <c r="B12" s="11" t="n">
        <f aca="false">(('Business Case'!$C$58*$A12*'Business Case'!$C$39/'Business Case'!$E$39)/(1+'Business Case'!$B$12)^1+('Business Case'!$D$58*$A12*'Business Case'!$D$39/'Business Case'!$E$39)/(1+'Business Case'!$B$12)^2+('Business Case'!$E$58*$A12)/(1+'Business Case'!$B$12)^3)*(1-B$7)*(1-'Business Case'!$B$38)</f>
        <v>1406.69007798281</v>
      </c>
      <c r="C12" s="11" t="n">
        <f aca="false">(('Business Case'!$C$58*$A12*'Business Case'!$C$39/'Business Case'!$E$39)/(1+'Business Case'!$B$12)^1+('Business Case'!$D$58*$A12*'Business Case'!$D$39/'Business Case'!$E$39)/(1+'Business Case'!$B$12)^2+('Business Case'!$E$58*$A12)/(1+'Business Case'!$B$12)^3)*(1-C$7)*(1-'Business Case'!$B$38)</f>
        <v>1250.39118042916</v>
      </c>
      <c r="D12" s="11" t="n">
        <f aca="false">(('Business Case'!$C$58*$A12*'Business Case'!$C$39/'Business Case'!$E$39)/(1+'Business Case'!$B$12)^1+('Business Case'!$D$58*$A12*'Business Case'!$D$39/'Business Case'!$E$39)/(1+'Business Case'!$B$12)^2+('Business Case'!$E$58*$A12)/(1+'Business Case'!$B$12)^3)*(1-D$7)*(1-'Business Case'!$B$38)</f>
        <v>1094.09228287552</v>
      </c>
      <c r="E12" s="11" t="n">
        <f aca="false">(('Business Case'!$C$58*$A12*'Business Case'!$C$39/'Business Case'!$E$39)/(1+'Business Case'!$B$12)^1+('Business Case'!$D$58*$A12*'Business Case'!$D$39/'Business Case'!$E$39)/(1+'Business Case'!$B$12)^2+('Business Case'!$E$58*$A12)/(1+'Business Case'!$B$12)^3)*(1-E$7)*(1-'Business Case'!$B$38)</f>
        <v>937.793385321873</v>
      </c>
      <c r="F12" s="11" t="n">
        <f aca="false">(('Business Case'!$C$58*$A12*'Business Case'!$C$39/'Business Case'!$E$39)/(1+'Business Case'!$B$12)^1+('Business Case'!$D$58*$A12*'Business Case'!$D$39/'Business Case'!$E$39)/(1+'Business Case'!$B$12)^2+('Business Case'!$E$58*$A12)/(1+'Business Case'!$B$12)^3)*(1-F$7)*(1-'Business Case'!$B$38)</f>
        <v>781.494487768228</v>
      </c>
    </row>
    <row r="15" customFormat="false" ht="15" hidden="false" customHeight="false" outlineLevel="0" collapsed="false">
      <c r="A15" s="3" t="s">
        <v>206</v>
      </c>
    </row>
    <row r="16" customFormat="false" ht="15" hidden="false" customHeight="false" outlineLevel="0" collapsed="false">
      <c r="A16" s="3" t="s">
        <v>207</v>
      </c>
      <c r="B16" s="30" t="n">
        <v>4.99</v>
      </c>
      <c r="C16" s="30" t="n">
        <v>7.99</v>
      </c>
      <c r="D16" s="30" t="n">
        <v>9.99</v>
      </c>
      <c r="E16" s="30" t="n">
        <v>12.99</v>
      </c>
    </row>
    <row r="17" customFormat="false" ht="15" hidden="false" customHeight="false" outlineLevel="0" collapsed="false">
      <c r="A17" s="29" t="n">
        <v>0.005</v>
      </c>
      <c r="B17" s="11" t="n">
        <f aca="false">(('Business Case'!$C$45*$A17*'Business Case'!$C$33/'Business Case'!$E$33)*(B$16*12-'Business Case'!$B$30*MAX('Business Case'!$B$31-B$16*12,0)-'Business Case'!$B$28)-('Business Case'!$C$45*$A17*'Business Case'!$C$33/'Business Case'!$E$33)*'Business Case'!$B$29)/(1+'Business Case'!$B$12)+(('Business Case'!$D$45*$A17*'Business Case'!$D$33/'Business Case'!$E$33)*(B$16*12-'Business Case'!$B$30*MAX('Business Case'!$B$31-B$16*12,0)-'Business Case'!$B$28)-MAX(('Business Case'!$D$45*$A17*'Business Case'!$D$33/'Business Case'!$E$33)-('Business Case'!$C$45*$A17*'Business Case'!$C$33/'Business Case'!$E$33),0)*'Business Case'!$B$29)/(1+'Business Case'!$B$12)^2+(('Business Case'!$E$45*$A17)*(B$16*12-'Business Case'!$B$30*MAX('Business Case'!$B$31-B$16*12,0)-'Business Case'!$B$28)-MAX(('Business Case'!$E$45*$A17)-('Business Case'!$D$45*$A17*'Business Case'!$D$33/'Business Case'!$E$33),0)*'Business Case'!$B$29)/(1+'Business Case'!$B$12)^3</f>
        <v>33.6395035091878</v>
      </c>
      <c r="C17" s="11" t="n">
        <f aca="false">(('Business Case'!$C$45*$A17*'Business Case'!$C$33/'Business Case'!$E$33)*(C$16*12-'Business Case'!$B$30*MAX('Business Case'!$B$31-C$16*12,0)-'Business Case'!$B$28)-('Business Case'!$C$45*$A17*'Business Case'!$C$33/'Business Case'!$E$33)*'Business Case'!$B$29)/(1+'Business Case'!$B$12)+(('Business Case'!$D$45*$A17*'Business Case'!$D$33/'Business Case'!$E$33)*(C$16*12-'Business Case'!$B$30*MAX('Business Case'!$B$31-C$16*12,0)-'Business Case'!$B$28)-MAX(('Business Case'!$D$45*$A17*'Business Case'!$D$33/'Business Case'!$E$33)-('Business Case'!$C$45*$A17*'Business Case'!$C$33/'Business Case'!$E$33),0)*'Business Case'!$B$29)/(1+'Business Case'!$B$12)^2+(('Business Case'!$E$45*$A17)*(C$16*12-'Business Case'!$B$30*MAX('Business Case'!$B$31-C$16*12,0)-'Business Case'!$B$28)-MAX(('Business Case'!$E$45*$A17)-('Business Case'!$D$45*$A17*'Business Case'!$D$33/'Business Case'!$E$33),0)*'Business Case'!$B$29)/(1+'Business Case'!$B$12)^3</f>
        <v>166.033863789923</v>
      </c>
      <c r="D17" s="11" t="n">
        <f aca="false">(('Business Case'!$C$45*$A17*'Business Case'!$C$33/'Business Case'!$E$33)*(D$16*12-'Business Case'!$B$30*MAX('Business Case'!$B$31-D$16*12,0)-'Business Case'!$B$28)-('Business Case'!$C$45*$A17*'Business Case'!$C$33/'Business Case'!$E$33)*'Business Case'!$B$29)/(1+'Business Case'!$B$12)+(('Business Case'!$D$45*$A17*'Business Case'!$D$33/'Business Case'!$E$33)*(D$16*12-'Business Case'!$B$30*MAX('Business Case'!$B$31-D$16*12,0)-'Business Case'!$B$28)-MAX(('Business Case'!$D$45*$A17*'Business Case'!$D$33/'Business Case'!$E$33)-('Business Case'!$C$45*$A17*'Business Case'!$C$33/'Business Case'!$E$33),0)*'Business Case'!$B$29)/(1+'Business Case'!$B$12)^2+(('Business Case'!$E$45*$A17)*(D$16*12-'Business Case'!$B$30*MAX('Business Case'!$B$31-D$16*12,0)-'Business Case'!$B$28)-MAX(('Business Case'!$E$45*$A17)-('Business Case'!$D$45*$A17*'Business Case'!$D$33/'Business Case'!$E$33),0)*'Business Case'!$B$29)/(1+'Business Case'!$B$12)^3</f>
        <v>242.105456634562</v>
      </c>
      <c r="E17" s="11" t="n">
        <f aca="false">(('Business Case'!$C$45*$A17*'Business Case'!$C$33/'Business Case'!$E$33)*(E$16*12-'Business Case'!$B$30*MAX('Business Case'!$B$31-E$16*12,0)-'Business Case'!$B$28)-('Business Case'!$C$45*$A17*'Business Case'!$C$33/'Business Case'!$E$33)*'Business Case'!$B$29)/(1+'Business Case'!$B$12)+(('Business Case'!$D$45*$A17*'Business Case'!$D$33/'Business Case'!$E$33)*(E$16*12-'Business Case'!$B$30*MAX('Business Case'!$B$31-E$16*12,0)-'Business Case'!$B$28)-MAX(('Business Case'!$D$45*$A17*'Business Case'!$D$33/'Business Case'!$E$33)-('Business Case'!$C$45*$A17*'Business Case'!$C$33/'Business Case'!$E$33),0)*'Business Case'!$B$29)/(1+'Business Case'!$B$12)^2+(('Business Case'!$E$45*$A17)*(E$16*12-'Business Case'!$B$30*MAX('Business Case'!$B$31-E$16*12,0)-'Business Case'!$B$28)-MAX(('Business Case'!$E$45*$A17)-('Business Case'!$D$45*$A17*'Business Case'!$D$33/'Business Case'!$E$33),0)*'Business Case'!$B$29)/(1+'Business Case'!$B$12)^3</f>
        <v>352.434090201841</v>
      </c>
    </row>
    <row r="18" customFormat="false" ht="15" hidden="false" customHeight="false" outlineLevel="0" collapsed="false">
      <c r="A18" s="29" t="n">
        <v>0.01</v>
      </c>
      <c r="B18" s="11" t="n">
        <f aca="false">(('Business Case'!$C$45*$A18*'Business Case'!$C$33/'Business Case'!$E$33)*(B$16*12-'Business Case'!$B$30*MAX('Business Case'!$B$31-B$16*12,0)-'Business Case'!$B$28)-('Business Case'!$C$45*$A18*'Business Case'!$C$33/'Business Case'!$E$33)*'Business Case'!$B$29)/(1+'Business Case'!$B$12)+(('Business Case'!$D$45*$A18*'Business Case'!$D$33/'Business Case'!$E$33)*(B$16*12-'Business Case'!$B$30*MAX('Business Case'!$B$31-B$16*12,0)-'Business Case'!$B$28)-MAX(('Business Case'!$D$45*$A18*'Business Case'!$D$33/'Business Case'!$E$33)-('Business Case'!$C$45*$A18*'Business Case'!$C$33/'Business Case'!$E$33),0)*'Business Case'!$B$29)/(1+'Business Case'!$B$12)^2+(('Business Case'!$E$45*$A18)*(B$16*12-'Business Case'!$B$30*MAX('Business Case'!$B$31-B$16*12,0)-'Business Case'!$B$28)-MAX(('Business Case'!$E$45*$A18)-('Business Case'!$D$45*$A18*'Business Case'!$D$33/'Business Case'!$E$33),0)*'Business Case'!$B$29)/(1+'Business Case'!$B$12)^3</f>
        <v>67.2790070183757</v>
      </c>
      <c r="C18" s="11" t="n">
        <f aca="false">(('Business Case'!$C$45*$A18*'Business Case'!$C$33/'Business Case'!$E$33)*(C$16*12-'Business Case'!$B$30*MAX('Business Case'!$B$31-C$16*12,0)-'Business Case'!$B$28)-('Business Case'!$C$45*$A18*'Business Case'!$C$33/'Business Case'!$E$33)*'Business Case'!$B$29)/(1+'Business Case'!$B$12)+(('Business Case'!$D$45*$A18*'Business Case'!$D$33/'Business Case'!$E$33)*(C$16*12-'Business Case'!$B$30*MAX('Business Case'!$B$31-C$16*12,0)-'Business Case'!$B$28)-MAX(('Business Case'!$D$45*$A18*'Business Case'!$D$33/'Business Case'!$E$33)-('Business Case'!$C$45*$A18*'Business Case'!$C$33/'Business Case'!$E$33),0)*'Business Case'!$B$29)/(1+'Business Case'!$B$12)^2+(('Business Case'!$E$45*$A18)*(C$16*12-'Business Case'!$B$30*MAX('Business Case'!$B$31-C$16*12,0)-'Business Case'!$B$28)-MAX(('Business Case'!$E$45*$A18)-('Business Case'!$D$45*$A18*'Business Case'!$D$33/'Business Case'!$E$33),0)*'Business Case'!$B$29)/(1+'Business Case'!$B$12)^3</f>
        <v>332.067727579846</v>
      </c>
      <c r="D18" s="11" t="n">
        <f aca="false">(('Business Case'!$C$45*$A18*'Business Case'!$C$33/'Business Case'!$E$33)*(D$16*12-'Business Case'!$B$30*MAX('Business Case'!$B$31-D$16*12,0)-'Business Case'!$B$28)-('Business Case'!$C$45*$A18*'Business Case'!$C$33/'Business Case'!$E$33)*'Business Case'!$B$29)/(1+'Business Case'!$B$12)+(('Business Case'!$D$45*$A18*'Business Case'!$D$33/'Business Case'!$E$33)*(D$16*12-'Business Case'!$B$30*MAX('Business Case'!$B$31-D$16*12,0)-'Business Case'!$B$28)-MAX(('Business Case'!$D$45*$A18*'Business Case'!$D$33/'Business Case'!$E$33)-('Business Case'!$C$45*$A18*'Business Case'!$C$33/'Business Case'!$E$33),0)*'Business Case'!$B$29)/(1+'Business Case'!$B$12)^2+(('Business Case'!$E$45*$A18)*(D$16*12-'Business Case'!$B$30*MAX('Business Case'!$B$31-D$16*12,0)-'Business Case'!$B$28)-MAX(('Business Case'!$E$45*$A18)-('Business Case'!$D$45*$A18*'Business Case'!$D$33/'Business Case'!$E$33),0)*'Business Case'!$B$29)/(1+'Business Case'!$B$12)^3</f>
        <v>484.210913269124</v>
      </c>
      <c r="E18" s="11" t="n">
        <f aca="false">(('Business Case'!$C$45*$A18*'Business Case'!$C$33/'Business Case'!$E$33)*(E$16*12-'Business Case'!$B$30*MAX('Business Case'!$B$31-E$16*12,0)-'Business Case'!$B$28)-('Business Case'!$C$45*$A18*'Business Case'!$C$33/'Business Case'!$E$33)*'Business Case'!$B$29)/(1+'Business Case'!$B$12)+(('Business Case'!$D$45*$A18*'Business Case'!$D$33/'Business Case'!$E$33)*(E$16*12-'Business Case'!$B$30*MAX('Business Case'!$B$31-E$16*12,0)-'Business Case'!$B$28)-MAX(('Business Case'!$D$45*$A18*'Business Case'!$D$33/'Business Case'!$E$33)-('Business Case'!$C$45*$A18*'Business Case'!$C$33/'Business Case'!$E$33),0)*'Business Case'!$B$29)/(1+'Business Case'!$B$12)^2+(('Business Case'!$E$45*$A18)*(E$16*12-'Business Case'!$B$30*MAX('Business Case'!$B$31-E$16*12,0)-'Business Case'!$B$28)-MAX(('Business Case'!$E$45*$A18)-('Business Case'!$D$45*$A18*'Business Case'!$D$33/'Business Case'!$E$33),0)*'Business Case'!$B$29)/(1+'Business Case'!$B$12)^3</f>
        <v>704.868180403682</v>
      </c>
    </row>
    <row r="19" customFormat="false" ht="15" hidden="false" customHeight="false" outlineLevel="0" collapsed="false">
      <c r="A19" s="29" t="n">
        <v>0.015</v>
      </c>
      <c r="B19" s="11" t="n">
        <f aca="false">(('Business Case'!$C$45*$A19*'Business Case'!$C$33/'Business Case'!$E$33)*(B$16*12-'Business Case'!$B$30*MAX('Business Case'!$B$31-B$16*12,0)-'Business Case'!$B$28)-('Business Case'!$C$45*$A19*'Business Case'!$C$33/'Business Case'!$E$33)*'Business Case'!$B$29)/(1+'Business Case'!$B$12)+(('Business Case'!$D$45*$A19*'Business Case'!$D$33/'Business Case'!$E$33)*(B$16*12-'Business Case'!$B$30*MAX('Business Case'!$B$31-B$16*12,0)-'Business Case'!$B$28)-MAX(('Business Case'!$D$45*$A19*'Business Case'!$D$33/'Business Case'!$E$33)-('Business Case'!$C$45*$A19*'Business Case'!$C$33/'Business Case'!$E$33),0)*'Business Case'!$B$29)/(1+'Business Case'!$B$12)^2+(('Business Case'!$E$45*$A19)*(B$16*12-'Business Case'!$B$30*MAX('Business Case'!$B$31-B$16*12,0)-'Business Case'!$B$28)-MAX(('Business Case'!$E$45*$A19)-('Business Case'!$D$45*$A19*'Business Case'!$D$33/'Business Case'!$E$33),0)*'Business Case'!$B$29)/(1+'Business Case'!$B$12)^3</f>
        <v>100.918510527564</v>
      </c>
      <c r="C19" s="11" t="n">
        <f aca="false">(('Business Case'!$C$45*$A19*'Business Case'!$C$33/'Business Case'!$E$33)*(C$16*12-'Business Case'!$B$30*MAX('Business Case'!$B$31-C$16*12,0)-'Business Case'!$B$28)-('Business Case'!$C$45*$A19*'Business Case'!$C$33/'Business Case'!$E$33)*'Business Case'!$B$29)/(1+'Business Case'!$B$12)+(('Business Case'!$D$45*$A19*'Business Case'!$D$33/'Business Case'!$E$33)*(C$16*12-'Business Case'!$B$30*MAX('Business Case'!$B$31-C$16*12,0)-'Business Case'!$B$28)-MAX(('Business Case'!$D$45*$A19*'Business Case'!$D$33/'Business Case'!$E$33)-('Business Case'!$C$45*$A19*'Business Case'!$C$33/'Business Case'!$E$33),0)*'Business Case'!$B$29)/(1+'Business Case'!$B$12)^2+(('Business Case'!$E$45*$A19)*(C$16*12-'Business Case'!$B$30*MAX('Business Case'!$B$31-C$16*12,0)-'Business Case'!$B$28)-MAX(('Business Case'!$E$45*$A19)-('Business Case'!$D$45*$A19*'Business Case'!$D$33/'Business Case'!$E$33),0)*'Business Case'!$B$29)/(1+'Business Case'!$B$12)^3</f>
        <v>498.101591369769</v>
      </c>
      <c r="D19" s="11" t="n">
        <f aca="false">(('Business Case'!$C$45*$A19*'Business Case'!$C$33/'Business Case'!$E$33)*(D$16*12-'Business Case'!$B$30*MAX('Business Case'!$B$31-D$16*12,0)-'Business Case'!$B$28)-('Business Case'!$C$45*$A19*'Business Case'!$C$33/'Business Case'!$E$33)*'Business Case'!$B$29)/(1+'Business Case'!$B$12)+(('Business Case'!$D$45*$A19*'Business Case'!$D$33/'Business Case'!$E$33)*(D$16*12-'Business Case'!$B$30*MAX('Business Case'!$B$31-D$16*12,0)-'Business Case'!$B$28)-MAX(('Business Case'!$D$45*$A19*'Business Case'!$D$33/'Business Case'!$E$33)-('Business Case'!$C$45*$A19*'Business Case'!$C$33/'Business Case'!$E$33),0)*'Business Case'!$B$29)/(1+'Business Case'!$B$12)^2+(('Business Case'!$E$45*$A19)*(D$16*12-'Business Case'!$B$30*MAX('Business Case'!$B$31-D$16*12,0)-'Business Case'!$B$28)-MAX(('Business Case'!$E$45*$A19)-('Business Case'!$D$45*$A19*'Business Case'!$D$33/'Business Case'!$E$33),0)*'Business Case'!$B$29)/(1+'Business Case'!$B$12)^3</f>
        <v>726.316369903686</v>
      </c>
      <c r="E19" s="11" t="n">
        <f aca="false">(('Business Case'!$C$45*$A19*'Business Case'!$C$33/'Business Case'!$E$33)*(E$16*12-'Business Case'!$B$30*MAX('Business Case'!$B$31-E$16*12,0)-'Business Case'!$B$28)-('Business Case'!$C$45*$A19*'Business Case'!$C$33/'Business Case'!$E$33)*'Business Case'!$B$29)/(1+'Business Case'!$B$12)+(('Business Case'!$D$45*$A19*'Business Case'!$D$33/'Business Case'!$E$33)*(E$16*12-'Business Case'!$B$30*MAX('Business Case'!$B$31-E$16*12,0)-'Business Case'!$B$28)-MAX(('Business Case'!$D$45*$A19*'Business Case'!$D$33/'Business Case'!$E$33)-('Business Case'!$C$45*$A19*'Business Case'!$C$33/'Business Case'!$E$33),0)*'Business Case'!$B$29)/(1+'Business Case'!$B$12)^2+(('Business Case'!$E$45*$A19)*(E$16*12-'Business Case'!$B$30*MAX('Business Case'!$B$31-E$16*12,0)-'Business Case'!$B$28)-MAX(('Business Case'!$E$45*$A19)-('Business Case'!$D$45*$A19*'Business Case'!$D$33/'Business Case'!$E$33),0)*'Business Case'!$B$29)/(1+'Business Case'!$B$12)^3</f>
        <v>1057.30227060552</v>
      </c>
    </row>
    <row r="20" customFormat="false" ht="15" hidden="false" customHeight="false" outlineLevel="0" collapsed="false">
      <c r="A20" s="29" t="n">
        <v>0.02</v>
      </c>
      <c r="B20" s="11" t="n">
        <f aca="false">(('Business Case'!$C$45*$A20*'Business Case'!$C$33/'Business Case'!$E$33)*(B$16*12-'Business Case'!$B$30*MAX('Business Case'!$B$31-B$16*12,0)-'Business Case'!$B$28)-('Business Case'!$C$45*$A20*'Business Case'!$C$33/'Business Case'!$E$33)*'Business Case'!$B$29)/(1+'Business Case'!$B$12)+(('Business Case'!$D$45*$A20*'Business Case'!$D$33/'Business Case'!$E$33)*(B$16*12-'Business Case'!$B$30*MAX('Business Case'!$B$31-B$16*12,0)-'Business Case'!$B$28)-MAX(('Business Case'!$D$45*$A20*'Business Case'!$D$33/'Business Case'!$E$33)-('Business Case'!$C$45*$A20*'Business Case'!$C$33/'Business Case'!$E$33),0)*'Business Case'!$B$29)/(1+'Business Case'!$B$12)^2+(('Business Case'!$E$45*$A20)*(B$16*12-'Business Case'!$B$30*MAX('Business Case'!$B$31-B$16*12,0)-'Business Case'!$B$28)-MAX(('Business Case'!$E$45*$A20)-('Business Case'!$D$45*$A20*'Business Case'!$D$33/'Business Case'!$E$33),0)*'Business Case'!$B$29)/(1+'Business Case'!$B$12)^3</f>
        <v>134.558014036751</v>
      </c>
      <c r="C20" s="11" t="n">
        <f aca="false">(('Business Case'!$C$45*$A20*'Business Case'!$C$33/'Business Case'!$E$33)*(C$16*12-'Business Case'!$B$30*MAX('Business Case'!$B$31-C$16*12,0)-'Business Case'!$B$28)-('Business Case'!$C$45*$A20*'Business Case'!$C$33/'Business Case'!$E$33)*'Business Case'!$B$29)/(1+'Business Case'!$B$12)+(('Business Case'!$D$45*$A20*'Business Case'!$D$33/'Business Case'!$E$33)*(C$16*12-'Business Case'!$B$30*MAX('Business Case'!$B$31-C$16*12,0)-'Business Case'!$B$28)-MAX(('Business Case'!$D$45*$A20*'Business Case'!$D$33/'Business Case'!$E$33)-('Business Case'!$C$45*$A20*'Business Case'!$C$33/'Business Case'!$E$33),0)*'Business Case'!$B$29)/(1+'Business Case'!$B$12)^2+(('Business Case'!$E$45*$A20)*(C$16*12-'Business Case'!$B$30*MAX('Business Case'!$B$31-C$16*12,0)-'Business Case'!$B$28)-MAX(('Business Case'!$E$45*$A20)-('Business Case'!$D$45*$A20*'Business Case'!$D$33/'Business Case'!$E$33),0)*'Business Case'!$B$29)/(1+'Business Case'!$B$12)^3</f>
        <v>664.135455159691</v>
      </c>
      <c r="D20" s="11" t="n">
        <f aca="false">(('Business Case'!$C$45*$A20*'Business Case'!$C$33/'Business Case'!$E$33)*(D$16*12-'Business Case'!$B$30*MAX('Business Case'!$B$31-D$16*12,0)-'Business Case'!$B$28)-('Business Case'!$C$45*$A20*'Business Case'!$C$33/'Business Case'!$E$33)*'Business Case'!$B$29)/(1+'Business Case'!$B$12)+(('Business Case'!$D$45*$A20*'Business Case'!$D$33/'Business Case'!$E$33)*(D$16*12-'Business Case'!$B$30*MAX('Business Case'!$B$31-D$16*12,0)-'Business Case'!$B$28)-MAX(('Business Case'!$D$45*$A20*'Business Case'!$D$33/'Business Case'!$E$33)-('Business Case'!$C$45*$A20*'Business Case'!$C$33/'Business Case'!$E$33),0)*'Business Case'!$B$29)/(1+'Business Case'!$B$12)^2+(('Business Case'!$E$45*$A20)*(D$16*12-'Business Case'!$B$30*MAX('Business Case'!$B$31-D$16*12,0)-'Business Case'!$B$28)-MAX(('Business Case'!$E$45*$A20)-('Business Case'!$D$45*$A20*'Business Case'!$D$33/'Business Case'!$E$33),0)*'Business Case'!$B$29)/(1+'Business Case'!$B$12)^3</f>
        <v>968.421826538247</v>
      </c>
      <c r="E20" s="11" t="n">
        <f aca="false">(('Business Case'!$C$45*$A20*'Business Case'!$C$33/'Business Case'!$E$33)*(E$16*12-'Business Case'!$B$30*MAX('Business Case'!$B$31-E$16*12,0)-'Business Case'!$B$28)-('Business Case'!$C$45*$A20*'Business Case'!$C$33/'Business Case'!$E$33)*'Business Case'!$B$29)/(1+'Business Case'!$B$12)+(('Business Case'!$D$45*$A20*'Business Case'!$D$33/'Business Case'!$E$33)*(E$16*12-'Business Case'!$B$30*MAX('Business Case'!$B$31-E$16*12,0)-'Business Case'!$B$28)-MAX(('Business Case'!$D$45*$A20*'Business Case'!$D$33/'Business Case'!$E$33)-('Business Case'!$C$45*$A20*'Business Case'!$C$33/'Business Case'!$E$33),0)*'Business Case'!$B$29)/(1+'Business Case'!$B$12)^2+(('Business Case'!$E$45*$A20)*(E$16*12-'Business Case'!$B$30*MAX('Business Case'!$B$31-E$16*12,0)-'Business Case'!$B$28)-MAX(('Business Case'!$E$45*$A20)-('Business Case'!$D$45*$A20*'Business Case'!$D$33/'Business Case'!$E$33),0)*'Business Case'!$B$29)/(1+'Business Case'!$B$12)^3</f>
        <v>1409.73636080736</v>
      </c>
    </row>
    <row r="21" customFormat="false" ht="15" hidden="false" customHeight="false" outlineLevel="0" collapsed="false">
      <c r="A21" s="29" t="n">
        <v>0.03</v>
      </c>
      <c r="B21" s="11" t="n">
        <f aca="false">(('Business Case'!$C$45*$A21*'Business Case'!$C$33/'Business Case'!$E$33)*(B$16*12-'Business Case'!$B$30*MAX('Business Case'!$B$31-B$16*12,0)-'Business Case'!$B$28)-('Business Case'!$C$45*$A21*'Business Case'!$C$33/'Business Case'!$E$33)*'Business Case'!$B$29)/(1+'Business Case'!$B$12)+(('Business Case'!$D$45*$A21*'Business Case'!$D$33/'Business Case'!$E$33)*(B$16*12-'Business Case'!$B$30*MAX('Business Case'!$B$31-B$16*12,0)-'Business Case'!$B$28)-MAX(('Business Case'!$D$45*$A21*'Business Case'!$D$33/'Business Case'!$E$33)-('Business Case'!$C$45*$A21*'Business Case'!$C$33/'Business Case'!$E$33),0)*'Business Case'!$B$29)/(1+'Business Case'!$B$12)^2+(('Business Case'!$E$45*$A21)*(B$16*12-'Business Case'!$B$30*MAX('Business Case'!$B$31-B$16*12,0)-'Business Case'!$B$28)-MAX(('Business Case'!$E$45*$A21)-('Business Case'!$D$45*$A21*'Business Case'!$D$33/'Business Case'!$E$33),0)*'Business Case'!$B$29)/(1+'Business Case'!$B$12)^3</f>
        <v>201.837021055127</v>
      </c>
      <c r="C21" s="11" t="n">
        <f aca="false">(('Business Case'!$C$45*$A21*'Business Case'!$C$33/'Business Case'!$E$33)*(C$16*12-'Business Case'!$B$30*MAX('Business Case'!$B$31-C$16*12,0)-'Business Case'!$B$28)-('Business Case'!$C$45*$A21*'Business Case'!$C$33/'Business Case'!$E$33)*'Business Case'!$B$29)/(1+'Business Case'!$B$12)+(('Business Case'!$D$45*$A21*'Business Case'!$D$33/'Business Case'!$E$33)*(C$16*12-'Business Case'!$B$30*MAX('Business Case'!$B$31-C$16*12,0)-'Business Case'!$B$28)-MAX(('Business Case'!$D$45*$A21*'Business Case'!$D$33/'Business Case'!$E$33)-('Business Case'!$C$45*$A21*'Business Case'!$C$33/'Business Case'!$E$33),0)*'Business Case'!$B$29)/(1+'Business Case'!$B$12)^2+(('Business Case'!$E$45*$A21)*(C$16*12-'Business Case'!$B$30*MAX('Business Case'!$B$31-C$16*12,0)-'Business Case'!$B$28)-MAX(('Business Case'!$E$45*$A21)-('Business Case'!$D$45*$A21*'Business Case'!$D$33/'Business Case'!$E$33),0)*'Business Case'!$B$29)/(1+'Business Case'!$B$12)^3</f>
        <v>996.203182739537</v>
      </c>
      <c r="D21" s="11" t="n">
        <f aca="false">(('Business Case'!$C$45*$A21*'Business Case'!$C$33/'Business Case'!$E$33)*(D$16*12-'Business Case'!$B$30*MAX('Business Case'!$B$31-D$16*12,0)-'Business Case'!$B$28)-('Business Case'!$C$45*$A21*'Business Case'!$C$33/'Business Case'!$E$33)*'Business Case'!$B$29)/(1+'Business Case'!$B$12)+(('Business Case'!$D$45*$A21*'Business Case'!$D$33/'Business Case'!$E$33)*(D$16*12-'Business Case'!$B$30*MAX('Business Case'!$B$31-D$16*12,0)-'Business Case'!$B$28)-MAX(('Business Case'!$D$45*$A21*'Business Case'!$D$33/'Business Case'!$E$33)-('Business Case'!$C$45*$A21*'Business Case'!$C$33/'Business Case'!$E$33),0)*'Business Case'!$B$29)/(1+'Business Case'!$B$12)^2+(('Business Case'!$E$45*$A21)*(D$16*12-'Business Case'!$B$30*MAX('Business Case'!$B$31-D$16*12,0)-'Business Case'!$B$28)-MAX(('Business Case'!$E$45*$A21)-('Business Case'!$D$45*$A21*'Business Case'!$D$33/'Business Case'!$E$33),0)*'Business Case'!$B$29)/(1+'Business Case'!$B$12)^3</f>
        <v>1452.63273980737</v>
      </c>
      <c r="E21" s="11" t="n">
        <f aca="false">(('Business Case'!$C$45*$A21*'Business Case'!$C$33/'Business Case'!$E$33)*(E$16*12-'Business Case'!$B$30*MAX('Business Case'!$B$31-E$16*12,0)-'Business Case'!$B$28)-('Business Case'!$C$45*$A21*'Business Case'!$C$33/'Business Case'!$E$33)*'Business Case'!$B$29)/(1+'Business Case'!$B$12)+(('Business Case'!$D$45*$A21*'Business Case'!$D$33/'Business Case'!$E$33)*(E$16*12-'Business Case'!$B$30*MAX('Business Case'!$B$31-E$16*12,0)-'Business Case'!$B$28)-MAX(('Business Case'!$D$45*$A21*'Business Case'!$D$33/'Business Case'!$E$33)-('Business Case'!$C$45*$A21*'Business Case'!$C$33/'Business Case'!$E$33),0)*'Business Case'!$B$29)/(1+'Business Case'!$B$12)^2+(('Business Case'!$E$45*$A21)*(E$16*12-'Business Case'!$B$30*MAX('Business Case'!$B$31-E$16*12,0)-'Business Case'!$B$28)-MAX(('Business Case'!$E$45*$A21)-('Business Case'!$D$45*$A21*'Business Case'!$D$33/'Business Case'!$E$33),0)*'Business Case'!$B$29)/(1+'Business Case'!$B$12)^3</f>
        <v>2114.60454121105</v>
      </c>
    </row>
    <row r="22" customFormat="false" ht="15" hidden="false" customHeight="false" outlineLevel="0" collapsed="false">
      <c r="A22" s="2" t="s">
        <v>208</v>
      </c>
    </row>
    <row r="23" customFormat="false" ht="15" hidden="false" customHeight="false" outlineLevel="0" collapsed="false">
      <c r="A23" s="2" t="s">
        <v>209</v>
      </c>
    </row>
    <row r="24" customFormat="false" ht="15" hidden="false" customHeight="false" outlineLevel="0" collapsed="false">
      <c r="A24" s="6" t="s">
        <v>210</v>
      </c>
      <c r="B24" s="11" t="n">
        <f aca="false">D10</f>
        <v>656.455369725311</v>
      </c>
      <c r="C24" s="18" t="n">
        <f aca="false">'Business Case'!E69</f>
        <v>656.455369725311</v>
      </c>
    </row>
    <row r="25" customFormat="false" ht="15" hidden="false" customHeight="false" outlineLevel="0" collapsed="false">
      <c r="A25" s="6" t="s">
        <v>211</v>
      </c>
      <c r="B25" s="11" t="n">
        <f aca="false">C19</f>
        <v>498.101591369769</v>
      </c>
      <c r="C25" s="18" t="n">
        <f aca="false">'Business Case'!E68</f>
        <v>498.101591369768</v>
      </c>
    </row>
  </sheetData>
  <conditionalFormatting sqref="B8:F12">
    <cfRule type="cellIs" priority="2" operator="greaterThan" aboveAverage="0" equalAverage="0" bottom="0" percent="0" rank="0" text="" dxfId="0">
      <formula>$B$4</formula>
    </cfRule>
  </conditionalFormatting>
  <conditionalFormatting sqref="B17:E21">
    <cfRule type="cellIs" priority="3" operator="greaterThan" aboveAverage="0" equalAverage="0" bottom="0" percent="0" rank="0" text="" dxfId="0">
      <formula>$B$4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10"/>
  </cols>
  <sheetData>
    <row r="1" customFormat="false" ht="17.35" hidden="false" customHeight="false" outlineLevel="0" collapsed="false">
      <c r="A1" s="1" t="s">
        <v>14</v>
      </c>
    </row>
    <row r="3" customFormat="false" ht="15" hidden="false" customHeight="false" outlineLevel="0" collapsed="false">
      <c r="A3" s="9" t="s">
        <v>212</v>
      </c>
      <c r="B3" s="9" t="s">
        <v>213</v>
      </c>
    </row>
    <row r="4" customFormat="false" ht="26.85" hidden="false" customHeight="false" outlineLevel="0" collapsed="false">
      <c r="A4" s="4" t="s">
        <v>214</v>
      </c>
      <c r="B4" s="4" t="s">
        <v>215</v>
      </c>
    </row>
    <row r="5" customFormat="false" ht="15" hidden="false" customHeight="false" outlineLevel="0" collapsed="false">
      <c r="A5" s="4" t="s">
        <v>216</v>
      </c>
      <c r="B5" s="4" t="s">
        <v>217</v>
      </c>
    </row>
    <row r="6" customFormat="false" ht="15" hidden="false" customHeight="false" outlineLevel="0" collapsed="false">
      <c r="A6" s="4" t="s">
        <v>218</v>
      </c>
      <c r="B6" s="4" t="s">
        <v>219</v>
      </c>
    </row>
    <row r="7" customFormat="false" ht="77.6" hidden="false" customHeight="false" outlineLevel="0" collapsed="false">
      <c r="A7" s="4" t="s">
        <v>220</v>
      </c>
      <c r="B7" s="4" t="s">
        <v>221</v>
      </c>
    </row>
    <row r="8" customFormat="false" ht="26.85" hidden="false" customHeight="false" outlineLevel="0" collapsed="false">
      <c r="A8" s="4" t="s">
        <v>222</v>
      </c>
      <c r="B8" s="4" t="s">
        <v>223</v>
      </c>
    </row>
    <row r="9" customFormat="false" ht="15" hidden="false" customHeight="false" outlineLevel="0" collapsed="false">
      <c r="A9" s="4" t="s">
        <v>224</v>
      </c>
      <c r="B9" s="4" t="s">
        <v>225</v>
      </c>
    </row>
    <row r="10" customFormat="false" ht="26.85" hidden="false" customHeight="false" outlineLevel="0" collapsed="false">
      <c r="A10" s="4" t="s">
        <v>226</v>
      </c>
      <c r="B10" s="4" t="s">
        <v>227</v>
      </c>
    </row>
    <row r="11" customFormat="false" ht="26.85" hidden="false" customHeight="false" outlineLevel="0" collapsed="false">
      <c r="A11" s="4" t="s">
        <v>228</v>
      </c>
      <c r="B11" s="4" t="s">
        <v>229</v>
      </c>
    </row>
    <row r="12" customFormat="false" ht="26.85" hidden="false" customHeight="false" outlineLevel="0" collapsed="false">
      <c r="A12" s="4" t="s">
        <v>230</v>
      </c>
      <c r="B12" s="4" t="s">
        <v>231</v>
      </c>
    </row>
    <row r="13" customFormat="false" ht="26.85" hidden="false" customHeight="false" outlineLevel="0" collapsed="false">
      <c r="A13" s="4" t="s">
        <v>232</v>
      </c>
      <c r="B13" s="4" t="s">
        <v>233</v>
      </c>
    </row>
    <row r="14" customFormat="false" ht="26.85" hidden="false" customHeight="false" outlineLevel="0" collapsed="false">
      <c r="A14" s="4" t="s">
        <v>234</v>
      </c>
      <c r="B14" s="4" t="s">
        <v>235</v>
      </c>
    </row>
    <row r="15" customFormat="false" ht="15" hidden="false" customHeight="false" outlineLevel="0" collapsed="false">
      <c r="A15" s="4" t="s">
        <v>236</v>
      </c>
      <c r="B15" s="4" t="s">
        <v>237</v>
      </c>
    </row>
    <row r="16" customFormat="false" ht="15" hidden="false" customHeight="false" outlineLevel="0" collapsed="false">
      <c r="A16" s="4" t="s">
        <v>238</v>
      </c>
      <c r="B16" s="4" t="s">
        <v>239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2026-10-05T23:37:37Z</dcterms:created>
  <dc:creator>openpyxl</dc:creator>
  <dc:description/>
  <dc:language>en-US</dc:language>
  <cp:lastModifiedBy/>
  <dcterms:modified xsi:type="dcterms:W3CDTF">2026-10-05T23:37:37Z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